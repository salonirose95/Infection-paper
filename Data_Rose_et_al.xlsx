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sr978/Documents/Revision Infection/Data/"/>
    </mc:Choice>
  </mc:AlternateContent>
  <xr:revisionPtr revIDLastSave="0" documentId="13_ncr:1_{0898FA77-3AAD-844B-BB67-6156649D3BC9}" xr6:coauthVersionLast="47" xr6:coauthVersionMax="47" xr10:uidLastSave="{00000000-0000-0000-0000-000000000000}"/>
  <bookViews>
    <workbookView xWindow="4180" yWindow="960" windowWidth="28040" windowHeight="17440" activeTab="7" xr2:uid="{EFE7FEB9-F2FB-6E4E-A0DC-6C8D359BFF0A}"/>
  </bookViews>
  <sheets>
    <sheet name="Figure 1" sheetId="1" r:id="rId1"/>
    <sheet name="Figure 2" sheetId="2" r:id="rId2"/>
    <sheet name="Figure 3" sheetId="3" r:id="rId3"/>
    <sheet name="Figure 4" sheetId="4" r:id="rId4"/>
    <sheet name="Fig S1" sheetId="5" r:id="rId5"/>
    <sheet name="Fig S2" sheetId="9" r:id="rId6"/>
    <sheet name="Fig S3" sheetId="10" r:id="rId7"/>
    <sheet name="Fig S4" sheetId="7" r:id="rId8"/>
    <sheet name="Fig S5" sheetId="6" r:id="rId9"/>
    <sheet name="Fig S6" sheetId="8" r:id="rId10"/>
    <sheet name="Fig S7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46" i="3" l="1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K36" i="3"/>
  <c r="J36" i="3"/>
  <c r="K35" i="3"/>
  <c r="J35" i="3"/>
  <c r="K34" i="3"/>
  <c r="J34" i="3"/>
  <c r="K33" i="3"/>
  <c r="J33" i="3"/>
  <c r="K32" i="3"/>
  <c r="J32" i="3"/>
  <c r="K31" i="3"/>
  <c r="J31" i="3"/>
  <c r="K30" i="3"/>
  <c r="J30" i="3"/>
  <c r="K29" i="3"/>
  <c r="J29" i="3"/>
  <c r="K28" i="3"/>
  <c r="J28" i="3"/>
  <c r="K27" i="3"/>
  <c r="J27" i="3"/>
  <c r="K26" i="3"/>
  <c r="J26" i="3"/>
  <c r="K25" i="3"/>
  <c r="J25" i="3"/>
  <c r="K24" i="3"/>
  <c r="J24" i="3"/>
  <c r="K23" i="3"/>
  <c r="J23" i="3"/>
  <c r="K22" i="3"/>
  <c r="J22" i="3"/>
  <c r="K21" i="3"/>
  <c r="J21" i="3"/>
  <c r="K20" i="3"/>
  <c r="J20" i="3"/>
  <c r="K19" i="3"/>
  <c r="J19" i="3"/>
  <c r="K18" i="3"/>
  <c r="J18" i="3"/>
  <c r="K17" i="3"/>
  <c r="J17" i="3"/>
  <c r="K16" i="3"/>
  <c r="J16" i="3"/>
  <c r="K15" i="3"/>
  <c r="J15" i="3"/>
  <c r="K14" i="3"/>
  <c r="J14" i="3"/>
  <c r="K13" i="3"/>
  <c r="J13" i="3"/>
  <c r="K12" i="3"/>
  <c r="J12" i="3"/>
  <c r="K11" i="3"/>
  <c r="J11" i="3"/>
  <c r="K10" i="3"/>
  <c r="J10" i="3"/>
  <c r="K9" i="3"/>
  <c r="J9" i="3"/>
  <c r="K8" i="3"/>
  <c r="J8" i="3"/>
  <c r="K7" i="3"/>
  <c r="J7" i="3"/>
  <c r="K6" i="3"/>
  <c r="J6" i="3"/>
  <c r="K5" i="3"/>
  <c r="J5" i="3"/>
  <c r="K4" i="3"/>
  <c r="J4" i="3"/>
  <c r="K3" i="3"/>
  <c r="J3" i="3"/>
  <c r="K2" i="3"/>
  <c r="J2" i="3"/>
</calcChain>
</file>

<file path=xl/sharedStrings.xml><?xml version="1.0" encoding="utf-8"?>
<sst xmlns="http://schemas.openxmlformats.org/spreadsheetml/2006/main" count="4845" uniqueCount="72">
  <si>
    <t>Genotype</t>
  </si>
  <si>
    <t>Condition</t>
  </si>
  <si>
    <t>Males</t>
  </si>
  <si>
    <t>Canton-S</t>
  </si>
  <si>
    <t>Infected,PBS and Uninfected</t>
  </si>
  <si>
    <t>Females</t>
  </si>
  <si>
    <t>Uninfected</t>
  </si>
  <si>
    <t>Pathogens used (time of testing)</t>
  </si>
  <si>
    <t>ECC15(5hrs),E.coli(5hrs), M.luteus(5hrs), S.marcescens(5hrs),S.aureus(13hrs),L.monocytogenes(24hrs)</t>
  </si>
  <si>
    <t>Temp</t>
  </si>
  <si>
    <t>Humidity</t>
  </si>
  <si>
    <t>25 degress</t>
  </si>
  <si>
    <t>50-70%</t>
  </si>
  <si>
    <t>CI</t>
  </si>
  <si>
    <t>Courtship Index</t>
  </si>
  <si>
    <t>CoL</t>
  </si>
  <si>
    <t>Copulation Latency</t>
  </si>
  <si>
    <t>Treatment</t>
  </si>
  <si>
    <t>ECC15</t>
  </si>
  <si>
    <t>PBS</t>
  </si>
  <si>
    <t>Mating_Sucess</t>
  </si>
  <si>
    <t>E.coli</t>
  </si>
  <si>
    <t>M.luteus</t>
  </si>
  <si>
    <t>S.marce</t>
  </si>
  <si>
    <t>S.aureus</t>
  </si>
  <si>
    <t>L.mono</t>
  </si>
  <si>
    <t xml:space="preserve">Abbreviations </t>
  </si>
  <si>
    <t>Event</t>
  </si>
  <si>
    <t>S.marcescens</t>
  </si>
  <si>
    <t>L.monocytogenes</t>
  </si>
  <si>
    <t>Abbreviations</t>
  </si>
  <si>
    <t>C</t>
  </si>
  <si>
    <t>Control</t>
  </si>
  <si>
    <t>E</t>
  </si>
  <si>
    <t>Experimental/Infected fly</t>
  </si>
  <si>
    <t>CI towards PBS female</t>
  </si>
  <si>
    <t>CI towards S.marcescens female</t>
  </si>
  <si>
    <t>first copulated</t>
  </si>
  <si>
    <t>CI of PBS male</t>
  </si>
  <si>
    <t>CI of S.marcescens male</t>
  </si>
  <si>
    <t>CI towards S.aureus female</t>
  </si>
  <si>
    <t>First copulated</t>
  </si>
  <si>
    <t>CI of S.aureus male</t>
  </si>
  <si>
    <t>UAS IMD/+</t>
  </si>
  <si>
    <t>C564 GAL4/+</t>
  </si>
  <si>
    <t>C564 GAL4&gt;UAS IMD</t>
  </si>
  <si>
    <t>Mating_Success</t>
  </si>
  <si>
    <t>C564 GAL4; tub-GAL80TS/+</t>
  </si>
  <si>
    <t>UAS TOLL10B/+</t>
  </si>
  <si>
    <t>C564 GAL4; tub-GAL80TS &gt; UAS TOLL10B</t>
  </si>
  <si>
    <t>Mating_sucess</t>
  </si>
  <si>
    <t>Time</t>
  </si>
  <si>
    <t>S.marcescens(OD=0.1)</t>
  </si>
  <si>
    <t>Sex</t>
  </si>
  <si>
    <t>Female</t>
  </si>
  <si>
    <t>Male</t>
  </si>
  <si>
    <t>Staph(OD=0.1)</t>
  </si>
  <si>
    <t>Staph(0.1)</t>
  </si>
  <si>
    <t>Micrococcus</t>
  </si>
  <si>
    <t>Listeria</t>
  </si>
  <si>
    <t>Mating Success</t>
  </si>
  <si>
    <t xml:space="preserve">Walking speed </t>
  </si>
  <si>
    <t>Distance travelled</t>
  </si>
  <si>
    <t>OD=0.1</t>
  </si>
  <si>
    <t>OD=0.01</t>
  </si>
  <si>
    <t>OD=0.001</t>
  </si>
  <si>
    <t>Conc</t>
  </si>
  <si>
    <t>OD</t>
  </si>
  <si>
    <t>S.marcesens</t>
  </si>
  <si>
    <t>Dahomey</t>
  </si>
  <si>
    <t>S.marcescens(5hrs),S.aureus(13hrs),L.monocytogenes(24hrs)</t>
  </si>
  <si>
    <t>Locomotion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</si>
</sst>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43F06-0676-A34D-B063-FDA77A998839}">
  <dimension ref="A1:AG95"/>
  <sheetViews>
    <sheetView workbookViewId="0">
      <selection sqref="A1:I8"/>
    </sheetView>
  </sheetViews>
  <sheetFormatPr baseColWidth="10" defaultRowHeight="16" x14ac:dyDescent="0.2"/>
  <sheetData>
    <row r="1" spans="1:33" x14ac:dyDescent="0.2">
      <c r="B1" t="s">
        <v>0</v>
      </c>
      <c r="C1" t="s">
        <v>1</v>
      </c>
      <c r="J1" t="s">
        <v>17</v>
      </c>
      <c r="K1" t="s">
        <v>13</v>
      </c>
      <c r="L1" t="s">
        <v>20</v>
      </c>
      <c r="O1" t="s">
        <v>17</v>
      </c>
      <c r="P1" t="s">
        <v>13</v>
      </c>
      <c r="Q1" t="s">
        <v>20</v>
      </c>
      <c r="S1" t="s">
        <v>17</v>
      </c>
      <c r="T1" t="s">
        <v>13</v>
      </c>
      <c r="U1" t="s">
        <v>20</v>
      </c>
      <c r="W1" t="s">
        <v>17</v>
      </c>
      <c r="X1" t="s">
        <v>13</v>
      </c>
      <c r="Y1" t="s">
        <v>20</v>
      </c>
      <c r="AA1" t="s">
        <v>17</v>
      </c>
      <c r="AB1" t="s">
        <v>13</v>
      </c>
      <c r="AC1" t="s">
        <v>20</v>
      </c>
      <c r="AE1" t="s">
        <v>17</v>
      </c>
      <c r="AF1" t="s">
        <v>13</v>
      </c>
      <c r="AG1" t="s">
        <v>20</v>
      </c>
    </row>
    <row r="2" spans="1:33" x14ac:dyDescent="0.2">
      <c r="A2" s="1" t="s">
        <v>2</v>
      </c>
      <c r="B2" s="1" t="s">
        <v>3</v>
      </c>
      <c r="C2" s="1" t="s">
        <v>4</v>
      </c>
      <c r="J2" t="s">
        <v>18</v>
      </c>
      <c r="K2">
        <v>91.208791208791212</v>
      </c>
      <c r="L2">
        <v>1</v>
      </c>
      <c r="O2" t="s">
        <v>21</v>
      </c>
      <c r="P2">
        <v>45.294117647058826</v>
      </c>
      <c r="Q2">
        <v>1</v>
      </c>
      <c r="S2" t="s">
        <v>22</v>
      </c>
      <c r="T2">
        <v>61.5</v>
      </c>
      <c r="U2">
        <v>1</v>
      </c>
      <c r="W2" t="s">
        <v>19</v>
      </c>
      <c r="X2">
        <v>100</v>
      </c>
      <c r="Y2">
        <v>1</v>
      </c>
      <c r="AA2" t="s">
        <v>19</v>
      </c>
      <c r="AB2">
        <v>65</v>
      </c>
      <c r="AC2">
        <v>0</v>
      </c>
      <c r="AE2" t="s">
        <v>19</v>
      </c>
      <c r="AF2">
        <v>100</v>
      </c>
      <c r="AG2">
        <v>1</v>
      </c>
    </row>
    <row r="3" spans="1:33" x14ac:dyDescent="0.2">
      <c r="A3" t="s">
        <v>5</v>
      </c>
      <c r="B3" t="s">
        <v>3</v>
      </c>
      <c r="C3" t="s">
        <v>6</v>
      </c>
      <c r="J3" t="s">
        <v>18</v>
      </c>
      <c r="K3">
        <v>65.116279069767444</v>
      </c>
      <c r="L3">
        <v>1</v>
      </c>
      <c r="O3" t="s">
        <v>21</v>
      </c>
      <c r="P3">
        <v>84.833333333333343</v>
      </c>
      <c r="Q3">
        <v>1</v>
      </c>
      <c r="S3" t="s">
        <v>22</v>
      </c>
      <c r="T3">
        <v>100</v>
      </c>
      <c r="U3">
        <v>1</v>
      </c>
      <c r="W3" t="s">
        <v>19</v>
      </c>
      <c r="X3">
        <v>84.313725490196077</v>
      </c>
      <c r="Y3">
        <v>1</v>
      </c>
      <c r="AA3" t="s">
        <v>19</v>
      </c>
      <c r="AB3">
        <v>97.46192893401016</v>
      </c>
      <c r="AC3">
        <v>1</v>
      </c>
      <c r="AE3" t="s">
        <v>19</v>
      </c>
      <c r="AF3">
        <v>100</v>
      </c>
      <c r="AG3">
        <v>1</v>
      </c>
    </row>
    <row r="4" spans="1:33" x14ac:dyDescent="0.2">
      <c r="J4" t="s">
        <v>18</v>
      </c>
      <c r="K4">
        <v>80</v>
      </c>
      <c r="L4">
        <v>1</v>
      </c>
      <c r="O4" t="s">
        <v>21</v>
      </c>
      <c r="P4">
        <v>86.333333333333329</v>
      </c>
      <c r="Q4">
        <v>1</v>
      </c>
      <c r="S4" t="s">
        <v>22</v>
      </c>
      <c r="T4">
        <v>100</v>
      </c>
      <c r="U4">
        <v>1</v>
      </c>
      <c r="W4" t="s">
        <v>19</v>
      </c>
      <c r="X4">
        <v>100</v>
      </c>
      <c r="Y4">
        <v>1</v>
      </c>
      <c r="AA4" t="s">
        <v>19</v>
      </c>
      <c r="AB4">
        <v>96.043165467625897</v>
      </c>
      <c r="AC4">
        <v>1</v>
      </c>
      <c r="AE4" t="s">
        <v>19</v>
      </c>
      <c r="AF4">
        <v>30.166666666666668</v>
      </c>
      <c r="AG4">
        <v>0</v>
      </c>
    </row>
    <row r="5" spans="1:33" x14ac:dyDescent="0.2">
      <c r="A5" t="s">
        <v>7</v>
      </c>
      <c r="B5" s="5" t="s">
        <v>8</v>
      </c>
      <c r="C5" s="5"/>
      <c r="D5" s="5"/>
      <c r="E5" s="5"/>
      <c r="F5" s="5"/>
      <c r="G5" s="5"/>
      <c r="H5" s="5"/>
      <c r="I5" s="5"/>
      <c r="J5" t="s">
        <v>18</v>
      </c>
      <c r="K5">
        <v>68.46473029045643</v>
      </c>
      <c r="L5">
        <v>1</v>
      </c>
      <c r="O5" t="s">
        <v>21</v>
      </c>
      <c r="P5">
        <v>85.237258347978909</v>
      </c>
      <c r="Q5">
        <v>1</v>
      </c>
      <c r="S5" t="s">
        <v>22</v>
      </c>
      <c r="T5">
        <v>99.4</v>
      </c>
      <c r="U5">
        <v>1</v>
      </c>
      <c r="W5" t="s">
        <v>19</v>
      </c>
      <c r="X5">
        <v>100</v>
      </c>
      <c r="Y5">
        <v>1</v>
      </c>
      <c r="AA5" t="s">
        <v>19</v>
      </c>
      <c r="AB5">
        <v>44.833333333333329</v>
      </c>
      <c r="AC5">
        <v>1</v>
      </c>
      <c r="AE5" t="s">
        <v>19</v>
      </c>
      <c r="AF5">
        <v>100</v>
      </c>
      <c r="AG5">
        <v>1</v>
      </c>
    </row>
    <row r="6" spans="1:33" x14ac:dyDescent="0.2">
      <c r="J6" t="s">
        <v>18</v>
      </c>
      <c r="K6">
        <v>73.964497041420117</v>
      </c>
      <c r="L6">
        <v>1</v>
      </c>
      <c r="O6" t="s">
        <v>21</v>
      </c>
      <c r="P6">
        <v>69.333333333333343</v>
      </c>
      <c r="Q6">
        <v>1</v>
      </c>
      <c r="S6" t="s">
        <v>22</v>
      </c>
      <c r="T6">
        <v>93.4</v>
      </c>
      <c r="U6">
        <v>1</v>
      </c>
      <c r="W6" t="s">
        <v>19</v>
      </c>
      <c r="X6">
        <v>97.959183673469383</v>
      </c>
      <c r="Y6">
        <v>1</v>
      </c>
      <c r="AA6" t="s">
        <v>19</v>
      </c>
      <c r="AB6">
        <v>100</v>
      </c>
      <c r="AC6">
        <v>1</v>
      </c>
      <c r="AE6" t="s">
        <v>19</v>
      </c>
      <c r="AF6">
        <v>80.821917808219183</v>
      </c>
      <c r="AG6">
        <v>1</v>
      </c>
    </row>
    <row r="7" spans="1:33" x14ac:dyDescent="0.2">
      <c r="A7" t="s">
        <v>9</v>
      </c>
      <c r="B7" t="s">
        <v>10</v>
      </c>
      <c r="J7" t="s">
        <v>18</v>
      </c>
      <c r="K7">
        <v>65.128205128205124</v>
      </c>
      <c r="L7">
        <v>1</v>
      </c>
      <c r="O7" t="s">
        <v>21</v>
      </c>
      <c r="P7">
        <v>88.043478260869563</v>
      </c>
      <c r="Q7">
        <v>1</v>
      </c>
      <c r="S7" t="s">
        <v>22</v>
      </c>
      <c r="T7">
        <v>95.1</v>
      </c>
      <c r="U7">
        <v>1</v>
      </c>
      <c r="W7" t="s">
        <v>19</v>
      </c>
      <c r="X7">
        <v>92.827004219409275</v>
      </c>
      <c r="Y7">
        <v>1</v>
      </c>
      <c r="AA7" t="s">
        <v>19</v>
      </c>
      <c r="AB7">
        <v>81.666666666666671</v>
      </c>
      <c r="AC7">
        <v>1</v>
      </c>
      <c r="AE7" t="s">
        <v>19</v>
      </c>
      <c r="AF7">
        <v>100</v>
      </c>
      <c r="AG7">
        <v>1</v>
      </c>
    </row>
    <row r="8" spans="1:33" x14ac:dyDescent="0.2">
      <c r="A8" t="s">
        <v>11</v>
      </c>
      <c r="B8" t="s">
        <v>12</v>
      </c>
      <c r="J8" t="s">
        <v>18</v>
      </c>
      <c r="K8">
        <v>100</v>
      </c>
      <c r="L8">
        <v>1</v>
      </c>
      <c r="O8" t="s">
        <v>21</v>
      </c>
      <c r="P8">
        <v>87.5</v>
      </c>
      <c r="Q8">
        <v>1</v>
      </c>
      <c r="S8" t="s">
        <v>22</v>
      </c>
      <c r="T8">
        <v>79.600000000000009</v>
      </c>
      <c r="U8">
        <v>1</v>
      </c>
      <c r="W8" t="s">
        <v>19</v>
      </c>
      <c r="X8">
        <v>78.166666666666657</v>
      </c>
      <c r="Y8">
        <v>1</v>
      </c>
      <c r="AA8" t="s">
        <v>19</v>
      </c>
      <c r="AB8">
        <v>87.096774193548384</v>
      </c>
      <c r="AC8">
        <v>1</v>
      </c>
      <c r="AE8" t="s">
        <v>19</v>
      </c>
      <c r="AF8">
        <v>95.973154362416096</v>
      </c>
      <c r="AG8">
        <v>1</v>
      </c>
    </row>
    <row r="9" spans="1:33" x14ac:dyDescent="0.2">
      <c r="J9" t="s">
        <v>18</v>
      </c>
      <c r="K9">
        <v>100</v>
      </c>
      <c r="L9">
        <v>1</v>
      </c>
      <c r="O9" t="s">
        <v>21</v>
      </c>
      <c r="P9">
        <v>96.503496503496507</v>
      </c>
      <c r="Q9">
        <v>1</v>
      </c>
      <c r="S9" t="s">
        <v>22</v>
      </c>
      <c r="T9">
        <v>78</v>
      </c>
      <c r="U9">
        <v>1</v>
      </c>
      <c r="W9" t="s">
        <v>19</v>
      </c>
      <c r="X9">
        <v>100</v>
      </c>
      <c r="Y9">
        <v>1</v>
      </c>
      <c r="AA9" t="s">
        <v>19</v>
      </c>
      <c r="AB9">
        <v>100</v>
      </c>
      <c r="AC9">
        <v>1</v>
      </c>
      <c r="AE9" t="s">
        <v>19</v>
      </c>
      <c r="AF9">
        <v>49.425287356321839</v>
      </c>
      <c r="AG9">
        <v>1</v>
      </c>
    </row>
    <row r="10" spans="1:33" x14ac:dyDescent="0.2">
      <c r="J10" t="s">
        <v>18</v>
      </c>
      <c r="K10">
        <v>98.194130925507906</v>
      </c>
      <c r="L10">
        <v>1</v>
      </c>
      <c r="O10" t="s">
        <v>21</v>
      </c>
      <c r="P10">
        <v>64</v>
      </c>
      <c r="Q10">
        <v>1</v>
      </c>
      <c r="S10" t="s">
        <v>22</v>
      </c>
      <c r="T10">
        <v>84.899999999999991</v>
      </c>
      <c r="U10">
        <v>1</v>
      </c>
      <c r="W10" t="s">
        <v>19</v>
      </c>
      <c r="X10">
        <v>100</v>
      </c>
      <c r="Y10">
        <v>1</v>
      </c>
      <c r="AA10" t="s">
        <v>19</v>
      </c>
      <c r="AB10">
        <v>90.977443609022558</v>
      </c>
      <c r="AC10">
        <v>1</v>
      </c>
      <c r="AE10" t="s">
        <v>19</v>
      </c>
      <c r="AF10">
        <v>100</v>
      </c>
      <c r="AG10">
        <v>1</v>
      </c>
    </row>
    <row r="11" spans="1:33" x14ac:dyDescent="0.2">
      <c r="A11" t="s">
        <v>26</v>
      </c>
      <c r="J11" t="s">
        <v>18</v>
      </c>
      <c r="K11">
        <v>100</v>
      </c>
      <c r="L11">
        <v>1</v>
      </c>
      <c r="O11" t="s">
        <v>21</v>
      </c>
      <c r="P11">
        <v>85.263157894736835</v>
      </c>
      <c r="Q11">
        <v>1</v>
      </c>
      <c r="S11" t="s">
        <v>22</v>
      </c>
      <c r="T11">
        <v>79</v>
      </c>
      <c r="U11">
        <v>1</v>
      </c>
      <c r="W11" t="s">
        <v>19</v>
      </c>
      <c r="X11">
        <v>88.63636363636364</v>
      </c>
      <c r="Y11">
        <v>1</v>
      </c>
      <c r="AA11" t="s">
        <v>19</v>
      </c>
      <c r="AB11">
        <v>88.541666666666657</v>
      </c>
      <c r="AC11">
        <v>1</v>
      </c>
      <c r="AE11" t="s">
        <v>19</v>
      </c>
      <c r="AF11">
        <v>82.608695652173907</v>
      </c>
      <c r="AG11">
        <v>1</v>
      </c>
    </row>
    <row r="12" spans="1:33" x14ac:dyDescent="0.2">
      <c r="J12" t="s">
        <v>18</v>
      </c>
      <c r="K12">
        <v>75.520833333333343</v>
      </c>
      <c r="L12">
        <v>1</v>
      </c>
      <c r="O12" t="s">
        <v>21</v>
      </c>
      <c r="P12">
        <v>78.833333333333329</v>
      </c>
      <c r="Q12">
        <v>1</v>
      </c>
      <c r="S12" t="s">
        <v>22</v>
      </c>
      <c r="T12">
        <v>100</v>
      </c>
      <c r="U12">
        <v>1</v>
      </c>
      <c r="W12" t="s">
        <v>19</v>
      </c>
      <c r="X12">
        <v>100</v>
      </c>
      <c r="Y12">
        <v>1</v>
      </c>
      <c r="AA12" t="s">
        <v>19</v>
      </c>
      <c r="AB12">
        <v>100</v>
      </c>
      <c r="AC12">
        <v>1</v>
      </c>
      <c r="AE12" t="s">
        <v>19</v>
      </c>
      <c r="AF12">
        <v>97.196261682242991</v>
      </c>
      <c r="AG12">
        <v>1</v>
      </c>
    </row>
    <row r="13" spans="1:33" x14ac:dyDescent="0.2">
      <c r="A13" t="s">
        <v>13</v>
      </c>
      <c r="B13" t="s">
        <v>14</v>
      </c>
      <c r="J13" t="s">
        <v>18</v>
      </c>
      <c r="K13">
        <v>88.028169014084511</v>
      </c>
      <c r="L13">
        <v>1</v>
      </c>
      <c r="O13" t="s">
        <v>21</v>
      </c>
      <c r="P13">
        <v>71.333333333333343</v>
      </c>
      <c r="Q13">
        <v>1</v>
      </c>
      <c r="S13" t="s">
        <v>22</v>
      </c>
      <c r="T13">
        <v>81.3</v>
      </c>
      <c r="U13">
        <v>1</v>
      </c>
      <c r="W13" t="s">
        <v>19</v>
      </c>
      <c r="X13">
        <v>100</v>
      </c>
      <c r="Y13">
        <v>1</v>
      </c>
      <c r="AA13" t="s">
        <v>19</v>
      </c>
      <c r="AB13">
        <v>100</v>
      </c>
      <c r="AC13">
        <v>1</v>
      </c>
      <c r="AE13" t="s">
        <v>19</v>
      </c>
      <c r="AF13">
        <v>84.426229508196727</v>
      </c>
      <c r="AG13">
        <v>1</v>
      </c>
    </row>
    <row r="14" spans="1:33" x14ac:dyDescent="0.2">
      <c r="J14" t="s">
        <v>18</v>
      </c>
      <c r="K14">
        <v>100</v>
      </c>
      <c r="L14">
        <v>1</v>
      </c>
      <c r="O14" t="s">
        <v>21</v>
      </c>
      <c r="P14">
        <v>74.146341463414629</v>
      </c>
      <c r="Q14">
        <v>1</v>
      </c>
      <c r="S14" t="s">
        <v>22</v>
      </c>
      <c r="T14">
        <v>99</v>
      </c>
      <c r="U14">
        <v>1</v>
      </c>
      <c r="W14" t="s">
        <v>19</v>
      </c>
      <c r="X14">
        <v>72.680412371134011</v>
      </c>
      <c r="Y14">
        <v>1</v>
      </c>
      <c r="AA14" t="s">
        <v>19</v>
      </c>
      <c r="AB14">
        <v>85.685071574642123</v>
      </c>
      <c r="AC14">
        <v>1</v>
      </c>
      <c r="AE14" t="s">
        <v>19</v>
      </c>
      <c r="AF14">
        <v>79.591836734693871</v>
      </c>
      <c r="AG14">
        <v>1</v>
      </c>
    </row>
    <row r="15" spans="1:33" x14ac:dyDescent="0.2">
      <c r="J15" t="s">
        <v>18</v>
      </c>
      <c r="K15">
        <v>77.166666666666657</v>
      </c>
      <c r="L15">
        <v>0</v>
      </c>
      <c r="O15" t="s">
        <v>21</v>
      </c>
      <c r="P15">
        <v>90.5</v>
      </c>
      <c r="Q15">
        <v>1</v>
      </c>
      <c r="S15" t="s">
        <v>22</v>
      </c>
      <c r="T15">
        <v>56.699999999999996</v>
      </c>
      <c r="U15">
        <v>1</v>
      </c>
      <c r="W15" t="s">
        <v>19</v>
      </c>
      <c r="X15">
        <v>88.666666666666671</v>
      </c>
      <c r="Y15">
        <v>1</v>
      </c>
      <c r="AA15" t="s">
        <v>19</v>
      </c>
      <c r="AB15">
        <v>100</v>
      </c>
      <c r="AC15">
        <v>1</v>
      </c>
      <c r="AE15" t="s">
        <v>19</v>
      </c>
      <c r="AF15">
        <v>100</v>
      </c>
      <c r="AG15">
        <v>1</v>
      </c>
    </row>
    <row r="16" spans="1:33" x14ac:dyDescent="0.2">
      <c r="J16" t="s">
        <v>18</v>
      </c>
      <c r="K16">
        <v>85.123966942148769</v>
      </c>
      <c r="L16">
        <v>1</v>
      </c>
      <c r="O16" t="s">
        <v>21</v>
      </c>
      <c r="P16">
        <v>96.15384615384616</v>
      </c>
      <c r="Q16">
        <v>1</v>
      </c>
      <c r="S16" t="s">
        <v>22</v>
      </c>
      <c r="T16">
        <v>31.6</v>
      </c>
      <c r="U16">
        <v>1</v>
      </c>
      <c r="W16" t="s">
        <v>19</v>
      </c>
      <c r="X16">
        <v>100</v>
      </c>
      <c r="Y16">
        <v>1</v>
      </c>
      <c r="AA16" t="s">
        <v>19</v>
      </c>
      <c r="AB16">
        <v>98.039215686274503</v>
      </c>
      <c r="AC16">
        <v>1</v>
      </c>
      <c r="AE16" t="s">
        <v>19</v>
      </c>
      <c r="AF16">
        <v>100</v>
      </c>
      <c r="AG16">
        <v>1</v>
      </c>
    </row>
    <row r="17" spans="10:33" x14ac:dyDescent="0.2">
      <c r="J17" t="s">
        <v>18</v>
      </c>
      <c r="K17">
        <v>61.53846153846154</v>
      </c>
      <c r="L17">
        <v>1</v>
      </c>
      <c r="O17" t="s">
        <v>21</v>
      </c>
      <c r="P17">
        <v>84.636118598382751</v>
      </c>
      <c r="Q17">
        <v>1</v>
      </c>
      <c r="S17" t="s">
        <v>22</v>
      </c>
      <c r="T17">
        <v>59.5</v>
      </c>
      <c r="U17">
        <v>1</v>
      </c>
      <c r="W17" t="s">
        <v>19</v>
      </c>
      <c r="X17">
        <v>99.061032863849761</v>
      </c>
      <c r="Y17">
        <v>1</v>
      </c>
      <c r="AA17" t="s">
        <v>19</v>
      </c>
      <c r="AB17">
        <v>78.75</v>
      </c>
      <c r="AC17">
        <v>1</v>
      </c>
      <c r="AE17" t="s">
        <v>19</v>
      </c>
      <c r="AF17">
        <v>91.17647058823529</v>
      </c>
      <c r="AG17">
        <v>1</v>
      </c>
    </row>
    <row r="18" spans="10:33" x14ac:dyDescent="0.2">
      <c r="J18" t="s">
        <v>18</v>
      </c>
      <c r="K18">
        <v>61.29032258064516</v>
      </c>
      <c r="L18">
        <v>1</v>
      </c>
      <c r="O18" t="s">
        <v>21</v>
      </c>
      <c r="P18">
        <v>64.723926380368098</v>
      </c>
      <c r="Q18">
        <v>1</v>
      </c>
      <c r="S18" t="s">
        <v>22</v>
      </c>
      <c r="T18">
        <v>73.5</v>
      </c>
      <c r="U18">
        <v>1</v>
      </c>
      <c r="W18" t="s">
        <v>19</v>
      </c>
      <c r="X18">
        <v>100</v>
      </c>
      <c r="Y18">
        <v>1</v>
      </c>
      <c r="AA18" t="s">
        <v>19</v>
      </c>
      <c r="AB18">
        <v>99.494097807757171</v>
      </c>
      <c r="AC18">
        <v>1</v>
      </c>
      <c r="AE18" t="s">
        <v>19</v>
      </c>
      <c r="AF18">
        <v>100</v>
      </c>
      <c r="AG18">
        <v>1</v>
      </c>
    </row>
    <row r="19" spans="10:33" x14ac:dyDescent="0.2">
      <c r="J19" t="s">
        <v>18</v>
      </c>
      <c r="K19">
        <v>73.873873873873876</v>
      </c>
      <c r="L19">
        <v>1</v>
      </c>
      <c r="O19" t="s">
        <v>21</v>
      </c>
      <c r="P19">
        <v>62.331838565022423</v>
      </c>
      <c r="Q19">
        <v>1</v>
      </c>
      <c r="S19" t="s">
        <v>22</v>
      </c>
      <c r="T19">
        <v>76.599999999999994</v>
      </c>
      <c r="U19">
        <v>1</v>
      </c>
      <c r="W19" t="s">
        <v>19</v>
      </c>
      <c r="X19">
        <v>96.085409252669038</v>
      </c>
      <c r="Y19">
        <v>1</v>
      </c>
      <c r="AA19" t="s">
        <v>24</v>
      </c>
      <c r="AB19">
        <v>100</v>
      </c>
      <c r="AC19">
        <v>1</v>
      </c>
      <c r="AE19" t="s">
        <v>19</v>
      </c>
      <c r="AF19">
        <v>100</v>
      </c>
      <c r="AG19">
        <v>1</v>
      </c>
    </row>
    <row r="20" spans="10:33" x14ac:dyDescent="0.2">
      <c r="J20" t="s">
        <v>18</v>
      </c>
      <c r="K20">
        <v>97.422680412371136</v>
      </c>
      <c r="L20">
        <v>1</v>
      </c>
      <c r="O20" t="s">
        <v>21</v>
      </c>
      <c r="P20">
        <v>78.07692307692308</v>
      </c>
      <c r="Q20">
        <v>1</v>
      </c>
      <c r="S20" t="s">
        <v>22</v>
      </c>
      <c r="T20">
        <v>95.199999999999989</v>
      </c>
      <c r="U20">
        <v>1</v>
      </c>
      <c r="W20" t="s">
        <v>19</v>
      </c>
      <c r="X20">
        <v>97.321428571428569</v>
      </c>
      <c r="Y20">
        <v>1</v>
      </c>
      <c r="AA20" t="s">
        <v>24</v>
      </c>
      <c r="AB20">
        <v>94.179894179894177</v>
      </c>
      <c r="AC20">
        <v>1</v>
      </c>
      <c r="AE20" t="s">
        <v>19</v>
      </c>
      <c r="AF20">
        <v>100</v>
      </c>
      <c r="AG20">
        <v>1</v>
      </c>
    </row>
    <row r="21" spans="10:33" x14ac:dyDescent="0.2">
      <c r="J21" t="s">
        <v>18</v>
      </c>
      <c r="K21">
        <v>38.70967741935484</v>
      </c>
      <c r="L21">
        <v>1</v>
      </c>
      <c r="O21" t="s">
        <v>21</v>
      </c>
      <c r="P21">
        <v>96.940726577437857</v>
      </c>
      <c r="Q21">
        <v>1</v>
      </c>
      <c r="S21" t="s">
        <v>22</v>
      </c>
      <c r="T21">
        <v>37.9</v>
      </c>
      <c r="U21">
        <v>1</v>
      </c>
      <c r="W21" t="s">
        <v>19</v>
      </c>
      <c r="X21">
        <v>94</v>
      </c>
      <c r="Y21">
        <v>1</v>
      </c>
      <c r="AA21" t="s">
        <v>24</v>
      </c>
      <c r="AB21">
        <v>46.948356807511736</v>
      </c>
      <c r="AC21">
        <v>1</v>
      </c>
      <c r="AE21" t="s">
        <v>19</v>
      </c>
      <c r="AF21">
        <v>77.777777777777786</v>
      </c>
      <c r="AG21">
        <v>1</v>
      </c>
    </row>
    <row r="22" spans="10:33" x14ac:dyDescent="0.2">
      <c r="J22" t="s">
        <v>18</v>
      </c>
      <c r="K22">
        <v>75.130434782608688</v>
      </c>
      <c r="L22">
        <v>1</v>
      </c>
      <c r="O22" t="s">
        <v>21</v>
      </c>
      <c r="P22">
        <v>95.798319327731093</v>
      </c>
      <c r="Q22">
        <v>1</v>
      </c>
      <c r="S22" t="s">
        <v>22</v>
      </c>
      <c r="T22">
        <v>98.5</v>
      </c>
      <c r="U22">
        <v>1</v>
      </c>
      <c r="W22" t="s">
        <v>19</v>
      </c>
      <c r="X22">
        <v>97.575757575757578</v>
      </c>
      <c r="Y22">
        <v>1</v>
      </c>
      <c r="AA22" t="s">
        <v>24</v>
      </c>
      <c r="AB22">
        <v>94.666666666666671</v>
      </c>
      <c r="AC22">
        <v>1</v>
      </c>
      <c r="AE22" t="s">
        <v>19</v>
      </c>
      <c r="AF22">
        <v>73</v>
      </c>
      <c r="AG22">
        <v>0</v>
      </c>
    </row>
    <row r="23" spans="10:33" x14ac:dyDescent="0.2">
      <c r="J23" t="s">
        <v>18</v>
      </c>
      <c r="K23">
        <v>97.849462365591393</v>
      </c>
      <c r="L23">
        <v>1</v>
      </c>
      <c r="O23" t="s">
        <v>21</v>
      </c>
      <c r="P23">
        <v>97.52066115702479</v>
      </c>
      <c r="Q23">
        <v>1</v>
      </c>
      <c r="S23" t="s">
        <v>22</v>
      </c>
      <c r="T23">
        <v>24.4</v>
      </c>
      <c r="U23">
        <v>1</v>
      </c>
      <c r="W23" t="s">
        <v>19</v>
      </c>
      <c r="X23">
        <v>92.473118279569889</v>
      </c>
      <c r="Y23">
        <v>1</v>
      </c>
      <c r="AA23" t="s">
        <v>24</v>
      </c>
      <c r="AB23">
        <v>78.888888888888886</v>
      </c>
      <c r="AC23">
        <v>1</v>
      </c>
      <c r="AE23" t="s">
        <v>6</v>
      </c>
      <c r="AF23">
        <v>67.241379310344826</v>
      </c>
      <c r="AG23">
        <v>1</v>
      </c>
    </row>
    <row r="24" spans="10:33" x14ac:dyDescent="0.2">
      <c r="J24" t="s">
        <v>18</v>
      </c>
      <c r="K24">
        <v>100</v>
      </c>
      <c r="L24">
        <v>1</v>
      </c>
      <c r="O24" t="s">
        <v>21</v>
      </c>
      <c r="P24">
        <v>86.813186813186817</v>
      </c>
      <c r="Q24">
        <v>1</v>
      </c>
      <c r="S24" t="s">
        <v>19</v>
      </c>
      <c r="T24">
        <v>98.1</v>
      </c>
      <c r="U24">
        <v>1</v>
      </c>
      <c r="W24" t="s">
        <v>19</v>
      </c>
      <c r="X24">
        <v>83.739837398373979</v>
      </c>
      <c r="Y24">
        <v>1</v>
      </c>
      <c r="AA24" t="s">
        <v>24</v>
      </c>
      <c r="AB24">
        <v>91.635687732342006</v>
      </c>
      <c r="AC24">
        <v>1</v>
      </c>
      <c r="AE24" t="s">
        <v>6</v>
      </c>
      <c r="AF24">
        <v>40.333333333333329</v>
      </c>
      <c r="AG24">
        <v>1</v>
      </c>
    </row>
    <row r="25" spans="10:33" x14ac:dyDescent="0.2">
      <c r="J25" t="s">
        <v>18</v>
      </c>
      <c r="K25">
        <v>79.629629629629633</v>
      </c>
      <c r="L25">
        <v>1</v>
      </c>
      <c r="O25" t="s">
        <v>21</v>
      </c>
      <c r="P25">
        <v>100</v>
      </c>
      <c r="Q25">
        <v>1</v>
      </c>
      <c r="S25" t="s">
        <v>19</v>
      </c>
      <c r="T25">
        <v>54.1</v>
      </c>
      <c r="U25">
        <v>1</v>
      </c>
      <c r="W25" t="s">
        <v>19</v>
      </c>
      <c r="X25">
        <v>100</v>
      </c>
      <c r="Y25">
        <v>1</v>
      </c>
      <c r="AA25" t="s">
        <v>24</v>
      </c>
      <c r="AB25">
        <v>90</v>
      </c>
      <c r="AC25">
        <v>1</v>
      </c>
      <c r="AE25" t="s">
        <v>6</v>
      </c>
      <c r="AF25">
        <v>100</v>
      </c>
      <c r="AG25">
        <v>1</v>
      </c>
    </row>
    <row r="26" spans="10:33" x14ac:dyDescent="0.2">
      <c r="J26" t="s">
        <v>18</v>
      </c>
      <c r="K26">
        <v>83.66013071895425</v>
      </c>
      <c r="L26">
        <v>1</v>
      </c>
      <c r="O26" t="s">
        <v>21</v>
      </c>
      <c r="P26">
        <v>45.569620253164558</v>
      </c>
      <c r="Q26">
        <v>1</v>
      </c>
      <c r="S26" t="s">
        <v>19</v>
      </c>
      <c r="T26">
        <v>56.3</v>
      </c>
      <c r="U26">
        <v>1</v>
      </c>
      <c r="W26" t="s">
        <v>19</v>
      </c>
      <c r="X26">
        <v>60</v>
      </c>
      <c r="Y26">
        <v>1</v>
      </c>
      <c r="AA26" t="s">
        <v>24</v>
      </c>
      <c r="AB26">
        <v>86.741573033707866</v>
      </c>
      <c r="AC26">
        <v>1</v>
      </c>
      <c r="AE26" t="s">
        <v>6</v>
      </c>
      <c r="AF26">
        <v>56.896551724137936</v>
      </c>
      <c r="AG26">
        <v>1</v>
      </c>
    </row>
    <row r="27" spans="10:33" x14ac:dyDescent="0.2">
      <c r="J27" t="s">
        <v>18</v>
      </c>
      <c r="K27">
        <v>59.523809523809526</v>
      </c>
      <c r="L27">
        <v>1</v>
      </c>
      <c r="O27" t="s">
        <v>21</v>
      </c>
      <c r="P27">
        <v>82.446808510638306</v>
      </c>
      <c r="Q27">
        <v>1</v>
      </c>
      <c r="S27" t="s">
        <v>19</v>
      </c>
      <c r="T27">
        <v>84</v>
      </c>
      <c r="U27">
        <v>1</v>
      </c>
      <c r="W27" t="s">
        <v>19</v>
      </c>
      <c r="X27">
        <v>53.658536585365859</v>
      </c>
      <c r="Y27">
        <v>1</v>
      </c>
      <c r="AA27" t="s">
        <v>24</v>
      </c>
      <c r="AB27">
        <v>100</v>
      </c>
      <c r="AC27">
        <v>1</v>
      </c>
      <c r="AE27" t="s">
        <v>6</v>
      </c>
      <c r="AF27">
        <v>55.516014234875442</v>
      </c>
      <c r="AG27">
        <v>1</v>
      </c>
    </row>
    <row r="28" spans="10:33" x14ac:dyDescent="0.2">
      <c r="J28" t="s">
        <v>18</v>
      </c>
      <c r="K28">
        <v>95.555555555555557</v>
      </c>
      <c r="L28">
        <v>1</v>
      </c>
      <c r="O28" t="s">
        <v>21</v>
      </c>
      <c r="P28">
        <v>66</v>
      </c>
      <c r="Q28">
        <v>1</v>
      </c>
      <c r="S28" t="s">
        <v>19</v>
      </c>
      <c r="T28">
        <v>81.8</v>
      </c>
      <c r="U28">
        <v>1</v>
      </c>
      <c r="W28" t="s">
        <v>19</v>
      </c>
      <c r="X28">
        <v>98.561151079136692</v>
      </c>
      <c r="Y28">
        <v>1</v>
      </c>
      <c r="AA28" t="s">
        <v>24</v>
      </c>
      <c r="AB28">
        <v>45.061728395061728</v>
      </c>
      <c r="AC28">
        <v>1</v>
      </c>
      <c r="AE28" t="s">
        <v>6</v>
      </c>
      <c r="AF28">
        <v>100</v>
      </c>
      <c r="AG28">
        <v>1</v>
      </c>
    </row>
    <row r="29" spans="10:33" x14ac:dyDescent="0.2">
      <c r="J29" t="s">
        <v>18</v>
      </c>
      <c r="K29">
        <v>83.333333333333343</v>
      </c>
      <c r="L29">
        <v>1</v>
      </c>
      <c r="O29" t="s">
        <v>21</v>
      </c>
      <c r="P29">
        <v>100</v>
      </c>
      <c r="Q29">
        <v>1</v>
      </c>
      <c r="S29" t="s">
        <v>19</v>
      </c>
      <c r="T29">
        <v>85.6</v>
      </c>
      <c r="U29">
        <v>1</v>
      </c>
      <c r="W29" t="s">
        <v>19</v>
      </c>
      <c r="X29">
        <v>100</v>
      </c>
      <c r="Y29">
        <v>1</v>
      </c>
      <c r="AA29" t="s">
        <v>24</v>
      </c>
      <c r="AB29">
        <v>90.196078431372555</v>
      </c>
      <c r="AC29">
        <v>1</v>
      </c>
      <c r="AE29" t="s">
        <v>6</v>
      </c>
      <c r="AF29">
        <v>100</v>
      </c>
      <c r="AG29">
        <v>1</v>
      </c>
    </row>
    <row r="30" spans="10:33" x14ac:dyDescent="0.2">
      <c r="J30" t="s">
        <v>18</v>
      </c>
      <c r="K30">
        <v>93.050193050193059</v>
      </c>
      <c r="L30">
        <v>1</v>
      </c>
      <c r="O30" t="s">
        <v>21</v>
      </c>
      <c r="P30">
        <v>94.362745098039213</v>
      </c>
      <c r="Q30">
        <v>1</v>
      </c>
      <c r="S30" t="s">
        <v>19</v>
      </c>
      <c r="T30">
        <v>51.300000000000004</v>
      </c>
      <c r="U30">
        <v>1</v>
      </c>
      <c r="W30" t="s">
        <v>19</v>
      </c>
      <c r="X30">
        <v>96.15384615384616</v>
      </c>
      <c r="Y30">
        <v>1</v>
      </c>
      <c r="AA30" t="s">
        <v>24</v>
      </c>
      <c r="AB30">
        <v>75.531914893617028</v>
      </c>
      <c r="AC30">
        <v>1</v>
      </c>
      <c r="AE30" t="s">
        <v>6</v>
      </c>
      <c r="AF30">
        <v>71.212121212121218</v>
      </c>
      <c r="AG30">
        <v>1</v>
      </c>
    </row>
    <row r="31" spans="10:33" x14ac:dyDescent="0.2">
      <c r="J31" t="s">
        <v>18</v>
      </c>
      <c r="K31">
        <v>95.412844036697251</v>
      </c>
      <c r="L31">
        <v>1</v>
      </c>
      <c r="O31" t="s">
        <v>21</v>
      </c>
      <c r="P31">
        <v>83.815028901734095</v>
      </c>
      <c r="Q31">
        <v>1</v>
      </c>
      <c r="S31" t="s">
        <v>19</v>
      </c>
      <c r="T31">
        <v>96.899999999999991</v>
      </c>
      <c r="U31">
        <v>1</v>
      </c>
      <c r="W31" t="s">
        <v>6</v>
      </c>
      <c r="X31">
        <v>78.443113772455092</v>
      </c>
      <c r="Y31">
        <v>1</v>
      </c>
      <c r="AA31" t="s">
        <v>24</v>
      </c>
      <c r="AB31">
        <v>80.451127819548873</v>
      </c>
      <c r="AC31">
        <v>1</v>
      </c>
      <c r="AE31" t="s">
        <v>6</v>
      </c>
      <c r="AF31">
        <v>82.333333333333343</v>
      </c>
      <c r="AG31">
        <v>1</v>
      </c>
    </row>
    <row r="32" spans="10:33" x14ac:dyDescent="0.2">
      <c r="J32" t="s">
        <v>18</v>
      </c>
      <c r="K32">
        <v>100</v>
      </c>
      <c r="L32">
        <v>1</v>
      </c>
      <c r="O32" t="s">
        <v>21</v>
      </c>
      <c r="P32">
        <v>81.632653061224488</v>
      </c>
      <c r="Q32">
        <v>1</v>
      </c>
      <c r="S32" t="s">
        <v>19</v>
      </c>
      <c r="T32">
        <v>70.7</v>
      </c>
      <c r="U32">
        <v>1</v>
      </c>
      <c r="W32" t="s">
        <v>6</v>
      </c>
      <c r="X32">
        <v>98.333333333333329</v>
      </c>
      <c r="Y32">
        <v>1</v>
      </c>
      <c r="AA32" t="s">
        <v>24</v>
      </c>
      <c r="AB32">
        <v>100</v>
      </c>
      <c r="AC32">
        <v>1</v>
      </c>
      <c r="AE32" t="s">
        <v>6</v>
      </c>
      <c r="AF32">
        <v>97.983870967741936</v>
      </c>
      <c r="AG32">
        <v>1</v>
      </c>
    </row>
    <row r="33" spans="10:33" x14ac:dyDescent="0.2">
      <c r="J33" t="s">
        <v>6</v>
      </c>
      <c r="K33">
        <v>86.111111111111114</v>
      </c>
      <c r="L33">
        <v>1</v>
      </c>
      <c r="O33" t="s">
        <v>19</v>
      </c>
      <c r="P33">
        <v>92.947558770343591</v>
      </c>
      <c r="Q33">
        <v>1</v>
      </c>
      <c r="S33" t="s">
        <v>19</v>
      </c>
      <c r="T33">
        <v>98</v>
      </c>
      <c r="U33">
        <v>0</v>
      </c>
      <c r="W33" t="s">
        <v>6</v>
      </c>
      <c r="X33">
        <v>98.611111111111114</v>
      </c>
      <c r="Y33">
        <v>1</v>
      </c>
      <c r="AA33" t="s">
        <v>24</v>
      </c>
      <c r="AB33">
        <v>83.666666666666671</v>
      </c>
      <c r="AC33">
        <v>0</v>
      </c>
      <c r="AE33" t="s">
        <v>6</v>
      </c>
      <c r="AF33">
        <v>93.197278911564624</v>
      </c>
      <c r="AG33">
        <v>1</v>
      </c>
    </row>
    <row r="34" spans="10:33" x14ac:dyDescent="0.2">
      <c r="J34" t="s">
        <v>6</v>
      </c>
      <c r="K34">
        <v>100</v>
      </c>
      <c r="L34">
        <v>1</v>
      </c>
      <c r="O34" t="s">
        <v>19</v>
      </c>
      <c r="P34">
        <v>64.161849710982651</v>
      </c>
      <c r="Q34">
        <v>1</v>
      </c>
      <c r="S34" t="s">
        <v>19</v>
      </c>
      <c r="T34">
        <v>55.1</v>
      </c>
      <c r="U34">
        <v>1</v>
      </c>
      <c r="W34" t="s">
        <v>6</v>
      </c>
      <c r="X34">
        <v>64.285714285714292</v>
      </c>
      <c r="Y34">
        <v>1</v>
      </c>
      <c r="AA34" t="s">
        <v>24</v>
      </c>
      <c r="AB34">
        <v>87.958115183246079</v>
      </c>
      <c r="AC34">
        <v>1</v>
      </c>
      <c r="AE34" t="s">
        <v>6</v>
      </c>
      <c r="AF34">
        <v>89.743589743589752</v>
      </c>
      <c r="AG34">
        <v>1</v>
      </c>
    </row>
    <row r="35" spans="10:33" x14ac:dyDescent="0.2">
      <c r="J35" t="s">
        <v>6</v>
      </c>
      <c r="K35">
        <v>100</v>
      </c>
      <c r="L35">
        <v>1</v>
      </c>
      <c r="O35" t="s">
        <v>19</v>
      </c>
      <c r="P35">
        <v>80.666666666666657</v>
      </c>
      <c r="Q35">
        <v>1</v>
      </c>
      <c r="S35" t="s">
        <v>19</v>
      </c>
      <c r="T35">
        <v>100</v>
      </c>
      <c r="U35">
        <v>1</v>
      </c>
      <c r="W35" t="s">
        <v>6</v>
      </c>
      <c r="X35">
        <v>88.888888888888886</v>
      </c>
      <c r="Y35">
        <v>1</v>
      </c>
      <c r="AA35" t="s">
        <v>24</v>
      </c>
      <c r="AB35">
        <v>77.669902912621353</v>
      </c>
      <c r="AC35">
        <v>1</v>
      </c>
      <c r="AE35" t="s">
        <v>6</v>
      </c>
      <c r="AF35">
        <v>94.85294117647058</v>
      </c>
      <c r="AG35">
        <v>1</v>
      </c>
    </row>
    <row r="36" spans="10:33" x14ac:dyDescent="0.2">
      <c r="J36" t="s">
        <v>6</v>
      </c>
      <c r="K36">
        <v>80</v>
      </c>
      <c r="L36">
        <v>1</v>
      </c>
      <c r="O36" t="s">
        <v>19</v>
      </c>
      <c r="P36">
        <v>92.753623188405797</v>
      </c>
      <c r="Q36">
        <v>1</v>
      </c>
      <c r="S36" t="s">
        <v>19</v>
      </c>
      <c r="T36">
        <v>96.3</v>
      </c>
      <c r="U36">
        <v>1</v>
      </c>
      <c r="W36" t="s">
        <v>6</v>
      </c>
      <c r="X36">
        <v>97.166666666666671</v>
      </c>
      <c r="Y36">
        <v>1</v>
      </c>
      <c r="AA36" t="s">
        <v>24</v>
      </c>
      <c r="AB36">
        <v>81.226765799256512</v>
      </c>
      <c r="AC36">
        <v>1</v>
      </c>
      <c r="AE36" t="s">
        <v>6</v>
      </c>
      <c r="AF36">
        <v>26.200000000000003</v>
      </c>
      <c r="AG36">
        <v>1</v>
      </c>
    </row>
    <row r="37" spans="10:33" x14ac:dyDescent="0.2">
      <c r="J37" t="s">
        <v>6</v>
      </c>
      <c r="K37">
        <v>100</v>
      </c>
      <c r="L37">
        <v>1</v>
      </c>
      <c r="O37" t="s">
        <v>19</v>
      </c>
      <c r="P37">
        <v>62.745098039215684</v>
      </c>
      <c r="Q37">
        <v>1</v>
      </c>
      <c r="S37" t="s">
        <v>19</v>
      </c>
      <c r="T37">
        <v>84.8</v>
      </c>
      <c r="U37">
        <v>1</v>
      </c>
      <c r="W37" t="s">
        <v>6</v>
      </c>
      <c r="X37">
        <v>100</v>
      </c>
      <c r="Y37">
        <v>1</v>
      </c>
      <c r="AA37" t="s">
        <v>24</v>
      </c>
      <c r="AB37">
        <v>87.25</v>
      </c>
      <c r="AC37">
        <v>1</v>
      </c>
      <c r="AE37" t="s">
        <v>6</v>
      </c>
      <c r="AF37">
        <v>100</v>
      </c>
      <c r="AG37">
        <v>1</v>
      </c>
    </row>
    <row r="38" spans="10:33" x14ac:dyDescent="0.2">
      <c r="J38" t="s">
        <v>6</v>
      </c>
      <c r="K38">
        <v>88.888888888888886</v>
      </c>
      <c r="L38">
        <v>1</v>
      </c>
      <c r="O38" t="s">
        <v>19</v>
      </c>
      <c r="P38">
        <v>66.869300911854097</v>
      </c>
      <c r="Q38">
        <v>1</v>
      </c>
      <c r="S38" t="s">
        <v>19</v>
      </c>
      <c r="T38">
        <v>79.600000000000009</v>
      </c>
      <c r="U38">
        <v>1</v>
      </c>
      <c r="W38" t="s">
        <v>6</v>
      </c>
      <c r="X38">
        <v>93.686354378818734</v>
      </c>
      <c r="Y38">
        <v>1</v>
      </c>
      <c r="AA38" t="s">
        <v>6</v>
      </c>
      <c r="AB38">
        <v>88.5</v>
      </c>
      <c r="AC38">
        <v>1</v>
      </c>
      <c r="AE38" t="s">
        <v>6</v>
      </c>
      <c r="AF38">
        <v>86.956521739130437</v>
      </c>
      <c r="AG38">
        <v>1</v>
      </c>
    </row>
    <row r="39" spans="10:33" x14ac:dyDescent="0.2">
      <c r="J39" t="s">
        <v>6</v>
      </c>
      <c r="K39">
        <v>100</v>
      </c>
      <c r="L39">
        <v>1</v>
      </c>
      <c r="O39" t="s">
        <v>19</v>
      </c>
      <c r="P39">
        <v>83.958333333333329</v>
      </c>
      <c r="Q39">
        <v>1</v>
      </c>
      <c r="S39" t="s">
        <v>19</v>
      </c>
      <c r="T39">
        <v>67.300000000000011</v>
      </c>
      <c r="U39">
        <v>1</v>
      </c>
      <c r="W39" t="s">
        <v>6</v>
      </c>
      <c r="X39">
        <v>83.505154639175259</v>
      </c>
      <c r="Y39">
        <v>1</v>
      </c>
      <c r="AA39" t="s">
        <v>6</v>
      </c>
      <c r="AB39">
        <v>60.344827586206897</v>
      </c>
      <c r="AC39">
        <v>1</v>
      </c>
      <c r="AE39" t="s">
        <v>6</v>
      </c>
      <c r="AF39">
        <v>100</v>
      </c>
      <c r="AG39">
        <v>1</v>
      </c>
    </row>
    <row r="40" spans="10:33" x14ac:dyDescent="0.2">
      <c r="J40" t="s">
        <v>6</v>
      </c>
      <c r="K40">
        <v>99.290780141843967</v>
      </c>
      <c r="L40">
        <v>1</v>
      </c>
      <c r="O40" t="s">
        <v>19</v>
      </c>
      <c r="P40">
        <v>96.954314720812178</v>
      </c>
      <c r="Q40">
        <v>1</v>
      </c>
      <c r="S40" t="s">
        <v>19</v>
      </c>
      <c r="T40">
        <v>87.9</v>
      </c>
      <c r="U40">
        <v>1</v>
      </c>
      <c r="W40" t="s">
        <v>6</v>
      </c>
      <c r="X40">
        <v>92.222222222222229</v>
      </c>
      <c r="Y40">
        <v>1</v>
      </c>
      <c r="AA40" t="s">
        <v>6</v>
      </c>
      <c r="AB40">
        <v>74.603174603174608</v>
      </c>
      <c r="AC40">
        <v>1</v>
      </c>
      <c r="AE40" t="s">
        <v>6</v>
      </c>
      <c r="AF40">
        <v>65.584415584415595</v>
      </c>
      <c r="AG40">
        <v>1</v>
      </c>
    </row>
    <row r="41" spans="10:33" x14ac:dyDescent="0.2">
      <c r="J41" t="s">
        <v>6</v>
      </c>
      <c r="K41">
        <v>57.894736842105267</v>
      </c>
      <c r="L41">
        <v>1</v>
      </c>
      <c r="O41" t="s">
        <v>19</v>
      </c>
      <c r="P41">
        <v>73.793103448275872</v>
      </c>
      <c r="Q41">
        <v>1</v>
      </c>
      <c r="S41" t="s">
        <v>19</v>
      </c>
      <c r="T41">
        <v>56.899999999999991</v>
      </c>
      <c r="U41">
        <v>1</v>
      </c>
      <c r="W41" t="s">
        <v>6</v>
      </c>
      <c r="X41">
        <v>71.333333333333343</v>
      </c>
      <c r="Y41">
        <v>1</v>
      </c>
      <c r="AA41" t="s">
        <v>6</v>
      </c>
      <c r="AB41">
        <v>94.285714285714278</v>
      </c>
      <c r="AC41">
        <v>1</v>
      </c>
      <c r="AE41" t="s">
        <v>6</v>
      </c>
      <c r="AF41">
        <v>77.453580901856768</v>
      </c>
      <c r="AG41">
        <v>1</v>
      </c>
    </row>
    <row r="42" spans="10:33" x14ac:dyDescent="0.2">
      <c r="J42" t="s">
        <v>6</v>
      </c>
      <c r="K42">
        <v>100</v>
      </c>
      <c r="L42">
        <v>1</v>
      </c>
      <c r="O42" t="s">
        <v>19</v>
      </c>
      <c r="P42">
        <v>64.745762711864401</v>
      </c>
      <c r="Q42">
        <v>1</v>
      </c>
      <c r="S42" t="s">
        <v>19</v>
      </c>
      <c r="T42">
        <v>47.8</v>
      </c>
      <c r="U42">
        <v>1</v>
      </c>
      <c r="W42" t="s">
        <v>6</v>
      </c>
      <c r="X42">
        <v>95.370370370370367</v>
      </c>
      <c r="Y42">
        <v>1</v>
      </c>
      <c r="AA42" t="s">
        <v>6</v>
      </c>
      <c r="AB42">
        <v>98.502994011976057</v>
      </c>
      <c r="AC42">
        <v>1</v>
      </c>
      <c r="AE42" t="s">
        <v>6</v>
      </c>
      <c r="AF42">
        <v>95.348837209302332</v>
      </c>
      <c r="AG42">
        <v>1</v>
      </c>
    </row>
    <row r="43" spans="10:33" x14ac:dyDescent="0.2">
      <c r="J43" t="s">
        <v>6</v>
      </c>
      <c r="K43">
        <v>71.585903083700444</v>
      </c>
      <c r="L43">
        <v>1</v>
      </c>
      <c r="O43" t="s">
        <v>19</v>
      </c>
      <c r="P43">
        <v>88.5</v>
      </c>
      <c r="Q43">
        <v>1</v>
      </c>
      <c r="S43" t="s">
        <v>19</v>
      </c>
      <c r="T43">
        <v>91.7</v>
      </c>
      <c r="U43">
        <v>1</v>
      </c>
      <c r="W43" t="s">
        <v>6</v>
      </c>
      <c r="X43">
        <v>85</v>
      </c>
      <c r="Y43">
        <v>1</v>
      </c>
      <c r="AA43" t="s">
        <v>6</v>
      </c>
      <c r="AB43">
        <v>56.928838951310858</v>
      </c>
      <c r="AC43">
        <v>1</v>
      </c>
      <c r="AE43" t="s">
        <v>25</v>
      </c>
      <c r="AF43">
        <v>50</v>
      </c>
      <c r="AG43">
        <v>1</v>
      </c>
    </row>
    <row r="44" spans="10:33" x14ac:dyDescent="0.2">
      <c r="J44" t="s">
        <v>6</v>
      </c>
      <c r="K44">
        <v>88.461538461538453</v>
      </c>
      <c r="L44">
        <v>1</v>
      </c>
      <c r="O44" t="s">
        <v>19</v>
      </c>
      <c r="P44">
        <v>72.307692307692307</v>
      </c>
      <c r="Q44">
        <v>1</v>
      </c>
      <c r="S44" t="s">
        <v>19</v>
      </c>
      <c r="T44">
        <v>91.2</v>
      </c>
      <c r="U44">
        <v>1</v>
      </c>
      <c r="W44" t="s">
        <v>6</v>
      </c>
      <c r="X44">
        <v>86.170212765957444</v>
      </c>
      <c r="Y44">
        <v>1</v>
      </c>
      <c r="AA44" t="s">
        <v>6</v>
      </c>
      <c r="AB44">
        <v>79.47019867549669</v>
      </c>
      <c r="AC44">
        <v>1</v>
      </c>
      <c r="AE44" t="s">
        <v>25</v>
      </c>
      <c r="AF44">
        <v>100</v>
      </c>
      <c r="AG44">
        <v>1</v>
      </c>
    </row>
    <row r="45" spans="10:33" x14ac:dyDescent="0.2">
      <c r="J45" t="s">
        <v>6</v>
      </c>
      <c r="K45">
        <v>77.272727272727266</v>
      </c>
      <c r="L45">
        <v>1</v>
      </c>
      <c r="O45" t="s">
        <v>19</v>
      </c>
      <c r="P45">
        <v>78.431372549019613</v>
      </c>
      <c r="Q45">
        <v>1</v>
      </c>
      <c r="S45" t="s">
        <v>6</v>
      </c>
      <c r="T45">
        <v>97.8</v>
      </c>
      <c r="U45">
        <v>1</v>
      </c>
      <c r="W45" t="s">
        <v>6</v>
      </c>
      <c r="X45">
        <v>95.588235294117652</v>
      </c>
      <c r="Y45">
        <v>1</v>
      </c>
      <c r="AA45" t="s">
        <v>6</v>
      </c>
      <c r="AB45">
        <v>88.81987577639751</v>
      </c>
      <c r="AC45">
        <v>1</v>
      </c>
      <c r="AE45" t="s">
        <v>25</v>
      </c>
      <c r="AF45">
        <v>100</v>
      </c>
      <c r="AG45">
        <v>1</v>
      </c>
    </row>
    <row r="46" spans="10:33" x14ac:dyDescent="0.2">
      <c r="J46" t="s">
        <v>6</v>
      </c>
      <c r="K46">
        <v>100</v>
      </c>
      <c r="L46">
        <v>1</v>
      </c>
      <c r="O46" t="s">
        <v>19</v>
      </c>
      <c r="P46">
        <v>83.333333333333343</v>
      </c>
      <c r="Q46">
        <v>1</v>
      </c>
      <c r="S46" t="s">
        <v>6</v>
      </c>
      <c r="T46">
        <v>64.5</v>
      </c>
      <c r="U46">
        <v>1</v>
      </c>
      <c r="W46" t="s">
        <v>6</v>
      </c>
      <c r="X46">
        <v>66.331658291457288</v>
      </c>
      <c r="Y46">
        <v>1</v>
      </c>
      <c r="AA46" t="s">
        <v>6</v>
      </c>
      <c r="AB46">
        <v>93.083003952569172</v>
      </c>
      <c r="AC46">
        <v>1</v>
      </c>
      <c r="AE46" t="s">
        <v>25</v>
      </c>
      <c r="AF46">
        <v>94.764397905759154</v>
      </c>
      <c r="AG46">
        <v>1</v>
      </c>
    </row>
    <row r="47" spans="10:33" x14ac:dyDescent="0.2">
      <c r="J47" t="s">
        <v>6</v>
      </c>
      <c r="K47">
        <v>96.710526315789465</v>
      </c>
      <c r="L47">
        <v>1</v>
      </c>
      <c r="O47" t="s">
        <v>19</v>
      </c>
      <c r="P47">
        <v>100</v>
      </c>
      <c r="Q47">
        <v>1</v>
      </c>
      <c r="S47" t="s">
        <v>6</v>
      </c>
      <c r="T47">
        <v>94.3</v>
      </c>
      <c r="U47">
        <v>1</v>
      </c>
      <c r="W47" t="s">
        <v>6</v>
      </c>
      <c r="X47">
        <v>99.0625</v>
      </c>
      <c r="Y47">
        <v>1</v>
      </c>
      <c r="AA47" t="s">
        <v>6</v>
      </c>
      <c r="AB47">
        <v>69.166666666666671</v>
      </c>
      <c r="AC47">
        <v>0</v>
      </c>
      <c r="AE47" t="s">
        <v>25</v>
      </c>
      <c r="AF47">
        <v>100</v>
      </c>
      <c r="AG47">
        <v>1</v>
      </c>
    </row>
    <row r="48" spans="10:33" x14ac:dyDescent="0.2">
      <c r="J48" t="s">
        <v>6</v>
      </c>
      <c r="K48">
        <v>91.379310344827587</v>
      </c>
      <c r="L48">
        <v>1</v>
      </c>
      <c r="O48" t="s">
        <v>19</v>
      </c>
      <c r="P48">
        <v>52.020202020202021</v>
      </c>
      <c r="Q48">
        <v>1</v>
      </c>
      <c r="S48" t="s">
        <v>6</v>
      </c>
      <c r="T48">
        <v>80.7</v>
      </c>
      <c r="U48">
        <v>1</v>
      </c>
      <c r="W48" t="s">
        <v>6</v>
      </c>
      <c r="X48">
        <v>92.356687898089177</v>
      </c>
      <c r="Y48">
        <v>1</v>
      </c>
      <c r="AA48" t="s">
        <v>6</v>
      </c>
      <c r="AB48">
        <v>82.333333333333343</v>
      </c>
      <c r="AC48">
        <v>1</v>
      </c>
      <c r="AE48" t="s">
        <v>25</v>
      </c>
      <c r="AF48">
        <v>64.112903225806448</v>
      </c>
      <c r="AG48">
        <v>1</v>
      </c>
    </row>
    <row r="49" spans="10:33" x14ac:dyDescent="0.2">
      <c r="J49" t="s">
        <v>6</v>
      </c>
      <c r="K49">
        <v>100</v>
      </c>
      <c r="L49">
        <v>1</v>
      </c>
      <c r="O49" t="s">
        <v>19</v>
      </c>
      <c r="P49">
        <v>94.252873563218387</v>
      </c>
      <c r="Q49">
        <v>1</v>
      </c>
      <c r="S49" t="s">
        <v>6</v>
      </c>
      <c r="T49">
        <v>100</v>
      </c>
      <c r="U49">
        <v>1</v>
      </c>
      <c r="W49" t="s">
        <v>6</v>
      </c>
      <c r="X49">
        <v>94.680851063829792</v>
      </c>
      <c r="Y49">
        <v>1</v>
      </c>
      <c r="AA49" t="s">
        <v>6</v>
      </c>
      <c r="AB49">
        <v>85.869565217391312</v>
      </c>
      <c r="AC49">
        <v>1</v>
      </c>
      <c r="AE49" t="s">
        <v>25</v>
      </c>
      <c r="AF49">
        <v>100</v>
      </c>
      <c r="AG49">
        <v>1</v>
      </c>
    </row>
    <row r="50" spans="10:33" x14ac:dyDescent="0.2">
      <c r="J50" t="s">
        <v>6</v>
      </c>
      <c r="K50">
        <v>94.791666666666657</v>
      </c>
      <c r="L50">
        <v>1</v>
      </c>
      <c r="O50" t="s">
        <v>19</v>
      </c>
      <c r="P50">
        <v>95.50561797752809</v>
      </c>
      <c r="Q50">
        <v>1</v>
      </c>
      <c r="S50" t="s">
        <v>6</v>
      </c>
      <c r="T50">
        <v>95.899999999999991</v>
      </c>
      <c r="U50">
        <v>1</v>
      </c>
      <c r="W50" t="s">
        <v>6</v>
      </c>
      <c r="X50">
        <v>91.75257731958763</v>
      </c>
      <c r="Y50">
        <v>1</v>
      </c>
      <c r="AA50" t="s">
        <v>6</v>
      </c>
      <c r="AB50">
        <v>87.603305785123965</v>
      </c>
      <c r="AC50">
        <v>1</v>
      </c>
      <c r="AE50" t="s">
        <v>25</v>
      </c>
      <c r="AF50">
        <v>100</v>
      </c>
      <c r="AG50">
        <v>1</v>
      </c>
    </row>
    <row r="51" spans="10:33" x14ac:dyDescent="0.2">
      <c r="J51" t="s">
        <v>6</v>
      </c>
      <c r="K51">
        <v>88.28125</v>
      </c>
      <c r="L51">
        <v>1</v>
      </c>
      <c r="O51" t="s">
        <v>19</v>
      </c>
      <c r="P51">
        <v>94.186046511627907</v>
      </c>
      <c r="Q51">
        <v>1</v>
      </c>
      <c r="S51" t="s">
        <v>6</v>
      </c>
      <c r="T51">
        <v>90.3</v>
      </c>
      <c r="U51">
        <v>1</v>
      </c>
      <c r="W51" t="s">
        <v>6</v>
      </c>
      <c r="X51">
        <v>89.10891089108911</v>
      </c>
      <c r="Y51">
        <v>1</v>
      </c>
      <c r="AA51" t="s">
        <v>6</v>
      </c>
      <c r="AB51">
        <v>71.379310344827587</v>
      </c>
      <c r="AC51">
        <v>1</v>
      </c>
      <c r="AE51" t="s">
        <v>25</v>
      </c>
      <c r="AF51">
        <v>100</v>
      </c>
      <c r="AG51">
        <v>1</v>
      </c>
    </row>
    <row r="52" spans="10:33" x14ac:dyDescent="0.2">
      <c r="J52" t="s">
        <v>6</v>
      </c>
      <c r="K52">
        <v>95.348837209302332</v>
      </c>
      <c r="L52">
        <v>1</v>
      </c>
      <c r="O52" t="s">
        <v>19</v>
      </c>
      <c r="P52">
        <v>100</v>
      </c>
      <c r="Q52">
        <v>1</v>
      </c>
      <c r="S52" t="s">
        <v>6</v>
      </c>
      <c r="T52">
        <v>92.800000000000011</v>
      </c>
      <c r="U52">
        <v>1</v>
      </c>
      <c r="W52" t="s">
        <v>6</v>
      </c>
      <c r="X52">
        <v>87.61904761904762</v>
      </c>
      <c r="Y52">
        <v>1</v>
      </c>
      <c r="AA52" t="s">
        <v>6</v>
      </c>
      <c r="AB52">
        <v>99.104477611940297</v>
      </c>
      <c r="AC52">
        <v>1</v>
      </c>
      <c r="AE52" t="s">
        <v>25</v>
      </c>
      <c r="AF52">
        <v>72</v>
      </c>
      <c r="AG52">
        <v>1</v>
      </c>
    </row>
    <row r="53" spans="10:33" x14ac:dyDescent="0.2">
      <c r="J53" t="s">
        <v>6</v>
      </c>
      <c r="K53">
        <v>100</v>
      </c>
      <c r="L53">
        <v>1</v>
      </c>
      <c r="O53" t="s">
        <v>19</v>
      </c>
      <c r="P53">
        <v>61.764705882352942</v>
      </c>
      <c r="Q53">
        <v>1</v>
      </c>
      <c r="S53" t="s">
        <v>6</v>
      </c>
      <c r="T53">
        <v>48.5</v>
      </c>
      <c r="U53">
        <v>1</v>
      </c>
      <c r="W53" t="s">
        <v>6</v>
      </c>
      <c r="X53">
        <v>90.502793296089393</v>
      </c>
      <c r="Y53">
        <v>1</v>
      </c>
      <c r="AA53" t="s">
        <v>6</v>
      </c>
      <c r="AB53">
        <v>89.408099688473513</v>
      </c>
      <c r="AC53">
        <v>1</v>
      </c>
      <c r="AE53" t="s">
        <v>25</v>
      </c>
      <c r="AF53">
        <v>88.888888888888886</v>
      </c>
      <c r="AG53">
        <v>1</v>
      </c>
    </row>
    <row r="54" spans="10:33" x14ac:dyDescent="0.2">
      <c r="J54" t="s">
        <v>6</v>
      </c>
      <c r="K54">
        <v>100</v>
      </c>
      <c r="L54">
        <v>1</v>
      </c>
      <c r="O54" t="s">
        <v>19</v>
      </c>
      <c r="P54">
        <v>81.25</v>
      </c>
      <c r="Q54">
        <v>1</v>
      </c>
      <c r="S54" t="s">
        <v>6</v>
      </c>
      <c r="T54">
        <v>93.5</v>
      </c>
      <c r="U54">
        <v>1</v>
      </c>
      <c r="W54" t="s">
        <v>6</v>
      </c>
      <c r="X54">
        <v>98.536585365853654</v>
      </c>
      <c r="Y54">
        <v>1</v>
      </c>
      <c r="AA54" t="s">
        <v>6</v>
      </c>
      <c r="AB54">
        <v>87.697715289982426</v>
      </c>
      <c r="AC54">
        <v>1</v>
      </c>
      <c r="AE54" t="s">
        <v>25</v>
      </c>
      <c r="AF54">
        <v>94</v>
      </c>
      <c r="AG54">
        <v>1</v>
      </c>
    </row>
    <row r="55" spans="10:33" x14ac:dyDescent="0.2">
      <c r="J55" t="s">
        <v>6</v>
      </c>
      <c r="K55">
        <v>73.529411764705884</v>
      </c>
      <c r="L55">
        <v>1</v>
      </c>
      <c r="O55" t="s">
        <v>19</v>
      </c>
      <c r="P55">
        <v>90.566037735849065</v>
      </c>
      <c r="Q55">
        <v>1</v>
      </c>
      <c r="S55" t="s">
        <v>6</v>
      </c>
      <c r="T55">
        <v>99.1</v>
      </c>
      <c r="U55">
        <v>1</v>
      </c>
      <c r="W55" t="s">
        <v>6</v>
      </c>
      <c r="X55">
        <v>89.615384615384613</v>
      </c>
      <c r="Y55">
        <v>1</v>
      </c>
      <c r="AA55" t="s">
        <v>6</v>
      </c>
      <c r="AB55">
        <v>93.793103448275858</v>
      </c>
      <c r="AC55">
        <v>1</v>
      </c>
      <c r="AE55" t="s">
        <v>25</v>
      </c>
      <c r="AF55">
        <v>98.230088495575217</v>
      </c>
      <c r="AG55">
        <v>1</v>
      </c>
    </row>
    <row r="56" spans="10:33" x14ac:dyDescent="0.2">
      <c r="J56" t="s">
        <v>6</v>
      </c>
      <c r="K56">
        <v>86.956521739130437</v>
      </c>
      <c r="L56">
        <v>1</v>
      </c>
      <c r="O56" t="s">
        <v>19</v>
      </c>
      <c r="P56">
        <v>92.881355932203391</v>
      </c>
      <c r="Q56">
        <v>1</v>
      </c>
      <c r="S56" t="s">
        <v>6</v>
      </c>
      <c r="T56">
        <v>62.5</v>
      </c>
      <c r="U56">
        <v>1</v>
      </c>
      <c r="W56" t="s">
        <v>6</v>
      </c>
      <c r="X56">
        <v>68.94736842105263</v>
      </c>
      <c r="Y56">
        <v>1</v>
      </c>
      <c r="AA56" t="s">
        <v>6</v>
      </c>
      <c r="AB56">
        <v>92.156862745098039</v>
      </c>
      <c r="AC56">
        <v>1</v>
      </c>
      <c r="AE56" t="s">
        <v>25</v>
      </c>
      <c r="AF56">
        <v>75.555555555555557</v>
      </c>
      <c r="AG56">
        <v>1</v>
      </c>
    </row>
    <row r="57" spans="10:33" x14ac:dyDescent="0.2">
      <c r="J57" t="s">
        <v>6</v>
      </c>
      <c r="K57">
        <v>91.954022988505741</v>
      </c>
      <c r="L57">
        <v>1</v>
      </c>
      <c r="O57" t="s">
        <v>19</v>
      </c>
      <c r="P57">
        <v>61.29032258064516</v>
      </c>
      <c r="Q57">
        <v>1</v>
      </c>
      <c r="S57" t="s">
        <v>6</v>
      </c>
      <c r="T57">
        <v>90</v>
      </c>
      <c r="U57">
        <v>1</v>
      </c>
      <c r="W57" t="s">
        <v>6</v>
      </c>
      <c r="X57">
        <v>92.592592592592595</v>
      </c>
      <c r="Y57">
        <v>1</v>
      </c>
      <c r="AA57" t="s">
        <v>6</v>
      </c>
      <c r="AB57">
        <v>91.886409736308323</v>
      </c>
      <c r="AC57">
        <v>1</v>
      </c>
      <c r="AE57" t="s">
        <v>25</v>
      </c>
      <c r="AF57">
        <v>100</v>
      </c>
      <c r="AG57">
        <v>1</v>
      </c>
    </row>
    <row r="58" spans="10:33" x14ac:dyDescent="0.2">
      <c r="J58" t="s">
        <v>6</v>
      </c>
      <c r="K58">
        <v>88.48684210526315</v>
      </c>
      <c r="L58">
        <v>1</v>
      </c>
      <c r="O58" t="s">
        <v>19</v>
      </c>
      <c r="P58">
        <v>86.697247706422019</v>
      </c>
      <c r="Q58">
        <v>1</v>
      </c>
      <c r="S58" t="s">
        <v>6</v>
      </c>
      <c r="T58">
        <v>91.100000000000009</v>
      </c>
      <c r="U58">
        <v>1</v>
      </c>
      <c r="W58" t="s">
        <v>6</v>
      </c>
      <c r="X58">
        <v>69.819819819819813</v>
      </c>
      <c r="Y58">
        <v>1</v>
      </c>
      <c r="AA58" t="s">
        <v>6</v>
      </c>
      <c r="AB58">
        <v>92.789968652037615</v>
      </c>
      <c r="AC58">
        <v>1</v>
      </c>
      <c r="AE58" t="s">
        <v>25</v>
      </c>
      <c r="AF58">
        <v>100</v>
      </c>
      <c r="AG58">
        <v>1</v>
      </c>
    </row>
    <row r="59" spans="10:33" x14ac:dyDescent="0.2">
      <c r="J59" t="s">
        <v>6</v>
      </c>
      <c r="K59">
        <v>96.703296703296701</v>
      </c>
      <c r="L59">
        <v>1</v>
      </c>
      <c r="O59" t="s">
        <v>19</v>
      </c>
      <c r="P59">
        <v>78.740157480314963</v>
      </c>
      <c r="Q59">
        <v>1</v>
      </c>
      <c r="S59" t="s">
        <v>6</v>
      </c>
      <c r="T59">
        <v>75</v>
      </c>
      <c r="U59">
        <v>1</v>
      </c>
      <c r="W59" t="s">
        <v>6</v>
      </c>
      <c r="X59">
        <v>100</v>
      </c>
      <c r="Y59">
        <v>1</v>
      </c>
      <c r="AE59" t="s">
        <v>25</v>
      </c>
      <c r="AF59">
        <v>85.13513513513513</v>
      </c>
      <c r="AG59">
        <v>1</v>
      </c>
    </row>
    <row r="60" spans="10:33" x14ac:dyDescent="0.2">
      <c r="J60" t="s">
        <v>6</v>
      </c>
      <c r="K60">
        <v>56.338028169014088</v>
      </c>
      <c r="L60">
        <v>1</v>
      </c>
      <c r="O60" t="s">
        <v>19</v>
      </c>
      <c r="P60">
        <v>71.544715447154474</v>
      </c>
      <c r="Q60">
        <v>1</v>
      </c>
      <c r="S60" t="s">
        <v>6</v>
      </c>
      <c r="T60">
        <v>57.4</v>
      </c>
      <c r="U60">
        <v>1</v>
      </c>
      <c r="W60" t="s">
        <v>23</v>
      </c>
      <c r="X60">
        <v>84.188034188034194</v>
      </c>
      <c r="Y60">
        <v>1</v>
      </c>
      <c r="AE60" t="s">
        <v>25</v>
      </c>
      <c r="AF60">
        <v>100</v>
      </c>
      <c r="AG60">
        <v>1</v>
      </c>
    </row>
    <row r="61" spans="10:33" x14ac:dyDescent="0.2">
      <c r="J61" t="s">
        <v>6</v>
      </c>
      <c r="K61">
        <v>91.338582677165363</v>
      </c>
      <c r="L61">
        <v>1</v>
      </c>
      <c r="O61" t="s">
        <v>19</v>
      </c>
      <c r="P61">
        <v>100</v>
      </c>
      <c r="Q61">
        <v>1</v>
      </c>
      <c r="S61" t="s">
        <v>6</v>
      </c>
      <c r="T61">
        <v>94.6</v>
      </c>
      <c r="U61">
        <v>1</v>
      </c>
      <c r="W61" t="s">
        <v>23</v>
      </c>
      <c r="X61">
        <v>100</v>
      </c>
      <c r="Y61">
        <v>1</v>
      </c>
      <c r="AE61" t="s">
        <v>25</v>
      </c>
      <c r="AF61">
        <v>40.74074074074074</v>
      </c>
      <c r="AG61">
        <v>1</v>
      </c>
    </row>
    <row r="62" spans="10:33" x14ac:dyDescent="0.2">
      <c r="J62" t="s">
        <v>6</v>
      </c>
      <c r="K62">
        <v>97.916666666666657</v>
      </c>
      <c r="L62">
        <v>1</v>
      </c>
      <c r="O62" t="s">
        <v>19</v>
      </c>
      <c r="P62">
        <v>92.344497607655512</v>
      </c>
      <c r="Q62">
        <v>1</v>
      </c>
      <c r="S62" t="s">
        <v>6</v>
      </c>
      <c r="T62">
        <v>73.3</v>
      </c>
      <c r="U62">
        <v>1</v>
      </c>
      <c r="W62" t="s">
        <v>23</v>
      </c>
      <c r="X62">
        <v>95.336787564766837</v>
      </c>
      <c r="Y62">
        <v>1</v>
      </c>
      <c r="AE62" t="s">
        <v>25</v>
      </c>
      <c r="AF62">
        <v>93.906810035842298</v>
      </c>
      <c r="AG62">
        <v>1</v>
      </c>
    </row>
    <row r="63" spans="10:33" x14ac:dyDescent="0.2">
      <c r="J63" t="s">
        <v>6</v>
      </c>
      <c r="K63">
        <v>97.737556561085967</v>
      </c>
      <c r="L63">
        <v>1</v>
      </c>
      <c r="O63" t="s">
        <v>6</v>
      </c>
      <c r="P63">
        <v>100</v>
      </c>
      <c r="Q63">
        <v>1</v>
      </c>
      <c r="S63" t="s">
        <v>6</v>
      </c>
      <c r="T63">
        <v>72.7</v>
      </c>
      <c r="U63">
        <v>1</v>
      </c>
      <c r="W63" t="s">
        <v>23</v>
      </c>
      <c r="X63">
        <v>100</v>
      </c>
      <c r="Y63">
        <v>1</v>
      </c>
      <c r="AE63" t="s">
        <v>25</v>
      </c>
      <c r="AF63">
        <v>94.520547945205479</v>
      </c>
      <c r="AG63">
        <v>1</v>
      </c>
    </row>
    <row r="64" spans="10:33" x14ac:dyDescent="0.2">
      <c r="J64" t="s">
        <v>19</v>
      </c>
      <c r="K64">
        <v>97.021276595744681</v>
      </c>
      <c r="L64">
        <v>1</v>
      </c>
      <c r="O64" t="s">
        <v>6</v>
      </c>
      <c r="P64">
        <v>100</v>
      </c>
      <c r="Q64">
        <v>1</v>
      </c>
      <c r="S64" t="s">
        <v>6</v>
      </c>
      <c r="T64">
        <v>95.5</v>
      </c>
      <c r="U64">
        <v>1</v>
      </c>
      <c r="W64" t="s">
        <v>23</v>
      </c>
      <c r="X64">
        <v>93.5</v>
      </c>
      <c r="Y64">
        <v>0</v>
      </c>
      <c r="AE64" t="s">
        <v>25</v>
      </c>
      <c r="AF64">
        <v>90.740740740740748</v>
      </c>
      <c r="AG64">
        <v>1</v>
      </c>
    </row>
    <row r="65" spans="10:33" x14ac:dyDescent="0.2">
      <c r="J65" t="s">
        <v>19</v>
      </c>
      <c r="K65">
        <v>41.379310344827587</v>
      </c>
      <c r="L65">
        <v>1</v>
      </c>
      <c r="O65" t="s">
        <v>6</v>
      </c>
      <c r="P65">
        <v>77.666666666666657</v>
      </c>
      <c r="Q65">
        <v>1</v>
      </c>
      <c r="S65" t="s">
        <v>6</v>
      </c>
      <c r="T65">
        <v>98.7</v>
      </c>
      <c r="U65">
        <v>1</v>
      </c>
      <c r="W65" t="s">
        <v>23</v>
      </c>
      <c r="X65">
        <v>95.42124542124543</v>
      </c>
      <c r="Y65">
        <v>1</v>
      </c>
      <c r="AE65" t="s">
        <v>25</v>
      </c>
      <c r="AF65">
        <v>100</v>
      </c>
      <c r="AG65">
        <v>1</v>
      </c>
    </row>
    <row r="66" spans="10:33" x14ac:dyDescent="0.2">
      <c r="J66" t="s">
        <v>19</v>
      </c>
      <c r="K66">
        <v>81.672025723472672</v>
      </c>
      <c r="L66">
        <v>1</v>
      </c>
      <c r="O66" t="s">
        <v>6</v>
      </c>
      <c r="P66">
        <v>82.324455205811148</v>
      </c>
      <c r="Q66">
        <v>1</v>
      </c>
      <c r="S66" t="s">
        <v>6</v>
      </c>
      <c r="T66">
        <v>86.4</v>
      </c>
      <c r="U66">
        <v>1</v>
      </c>
      <c r="W66" t="s">
        <v>23</v>
      </c>
      <c r="X66">
        <v>86.138613861386133</v>
      </c>
      <c r="Y66">
        <v>1</v>
      </c>
    </row>
    <row r="67" spans="10:33" x14ac:dyDescent="0.2">
      <c r="J67" t="s">
        <v>19</v>
      </c>
      <c r="K67">
        <v>45.901639344262293</v>
      </c>
      <c r="L67">
        <v>1</v>
      </c>
      <c r="O67" t="s">
        <v>6</v>
      </c>
      <c r="P67">
        <v>88.888888888888886</v>
      </c>
      <c r="Q67">
        <v>1</v>
      </c>
      <c r="W67" t="s">
        <v>23</v>
      </c>
      <c r="X67">
        <v>49.833333333333336</v>
      </c>
      <c r="Y67">
        <v>0</v>
      </c>
    </row>
    <row r="68" spans="10:33" x14ac:dyDescent="0.2">
      <c r="J68" t="s">
        <v>19</v>
      </c>
      <c r="K68">
        <v>97.560975609756099</v>
      </c>
      <c r="L68">
        <v>1</v>
      </c>
      <c r="O68" t="s">
        <v>6</v>
      </c>
      <c r="P68">
        <v>93.793103448275858</v>
      </c>
      <c r="Q68">
        <v>1</v>
      </c>
      <c r="W68" t="s">
        <v>23</v>
      </c>
      <c r="X68">
        <v>94.653465346534645</v>
      </c>
      <c r="Y68">
        <v>1</v>
      </c>
    </row>
    <row r="69" spans="10:33" x14ac:dyDescent="0.2">
      <c r="J69" t="s">
        <v>19</v>
      </c>
      <c r="K69">
        <v>94.845360824742258</v>
      </c>
      <c r="L69">
        <v>1</v>
      </c>
      <c r="O69" t="s">
        <v>6</v>
      </c>
      <c r="P69">
        <v>91.692307692307693</v>
      </c>
      <c r="Q69">
        <v>1</v>
      </c>
      <c r="W69" t="s">
        <v>23</v>
      </c>
      <c r="X69">
        <v>100</v>
      </c>
      <c r="Y69">
        <v>1</v>
      </c>
    </row>
    <row r="70" spans="10:33" x14ac:dyDescent="0.2">
      <c r="J70" t="s">
        <v>19</v>
      </c>
      <c r="K70">
        <v>59.090909090909093</v>
      </c>
      <c r="L70">
        <v>1</v>
      </c>
      <c r="O70" t="s">
        <v>6</v>
      </c>
      <c r="P70">
        <v>89.85507246376811</v>
      </c>
      <c r="Q70">
        <v>1</v>
      </c>
      <c r="W70" t="s">
        <v>23</v>
      </c>
      <c r="X70">
        <v>56.499999999999993</v>
      </c>
      <c r="Y70">
        <v>0</v>
      </c>
    </row>
    <row r="71" spans="10:33" x14ac:dyDescent="0.2">
      <c r="J71" t="s">
        <v>19</v>
      </c>
      <c r="K71">
        <v>100</v>
      </c>
      <c r="L71">
        <v>1</v>
      </c>
      <c r="O71" t="s">
        <v>6</v>
      </c>
      <c r="P71">
        <v>62.5</v>
      </c>
      <c r="Q71">
        <v>1</v>
      </c>
      <c r="W71" t="s">
        <v>23</v>
      </c>
      <c r="X71">
        <v>85.283018867924525</v>
      </c>
      <c r="Y71">
        <v>1</v>
      </c>
    </row>
    <row r="72" spans="10:33" x14ac:dyDescent="0.2">
      <c r="J72" t="s">
        <v>19</v>
      </c>
      <c r="K72">
        <v>83</v>
      </c>
      <c r="L72">
        <v>1</v>
      </c>
      <c r="O72" t="s">
        <v>6</v>
      </c>
      <c r="P72">
        <v>98.666666666666671</v>
      </c>
      <c r="Q72">
        <v>1</v>
      </c>
      <c r="W72" t="s">
        <v>23</v>
      </c>
      <c r="X72">
        <v>88.461538461538453</v>
      </c>
      <c r="Y72">
        <v>1</v>
      </c>
    </row>
    <row r="73" spans="10:33" x14ac:dyDescent="0.2">
      <c r="J73" t="s">
        <v>19</v>
      </c>
      <c r="K73">
        <v>93.230769230769226</v>
      </c>
      <c r="L73">
        <v>1</v>
      </c>
      <c r="O73" t="s">
        <v>6</v>
      </c>
      <c r="P73">
        <v>75</v>
      </c>
      <c r="Q73">
        <v>1</v>
      </c>
      <c r="W73" t="s">
        <v>23</v>
      </c>
      <c r="X73">
        <v>75.333333333333329</v>
      </c>
      <c r="Y73">
        <v>0</v>
      </c>
    </row>
    <row r="74" spans="10:33" x14ac:dyDescent="0.2">
      <c r="J74" t="s">
        <v>19</v>
      </c>
      <c r="K74">
        <v>73.267326732673268</v>
      </c>
      <c r="L74">
        <v>1</v>
      </c>
      <c r="O74" t="s">
        <v>6</v>
      </c>
      <c r="P74">
        <v>85.897435897435898</v>
      </c>
      <c r="Q74">
        <v>1</v>
      </c>
      <c r="W74" t="s">
        <v>23</v>
      </c>
      <c r="X74">
        <v>81.547619047619051</v>
      </c>
      <c r="Y74">
        <v>1</v>
      </c>
    </row>
    <row r="75" spans="10:33" x14ac:dyDescent="0.2">
      <c r="J75" t="s">
        <v>19</v>
      </c>
      <c r="K75">
        <v>93.288590604026851</v>
      </c>
      <c r="L75">
        <v>1</v>
      </c>
      <c r="O75" t="s">
        <v>6</v>
      </c>
      <c r="P75">
        <v>87.155963302752298</v>
      </c>
      <c r="Q75">
        <v>1</v>
      </c>
      <c r="W75" t="s">
        <v>23</v>
      </c>
      <c r="X75">
        <v>92.48554913294798</v>
      </c>
      <c r="Y75">
        <v>1</v>
      </c>
    </row>
    <row r="76" spans="10:33" x14ac:dyDescent="0.2">
      <c r="J76" t="s">
        <v>19</v>
      </c>
      <c r="K76">
        <v>100</v>
      </c>
      <c r="L76">
        <v>1</v>
      </c>
      <c r="O76" t="s">
        <v>6</v>
      </c>
      <c r="P76">
        <v>92.134831460674164</v>
      </c>
      <c r="Q76">
        <v>1</v>
      </c>
      <c r="W76" t="s">
        <v>23</v>
      </c>
      <c r="X76">
        <v>84</v>
      </c>
      <c r="Y76">
        <v>1</v>
      </c>
    </row>
    <row r="77" spans="10:33" x14ac:dyDescent="0.2">
      <c r="J77" t="s">
        <v>19</v>
      </c>
      <c r="K77">
        <v>75.728155339805824</v>
      </c>
      <c r="L77">
        <v>1</v>
      </c>
      <c r="O77" t="s">
        <v>6</v>
      </c>
      <c r="P77">
        <v>100</v>
      </c>
      <c r="Q77">
        <v>1</v>
      </c>
      <c r="W77" t="s">
        <v>23</v>
      </c>
      <c r="X77">
        <v>95.73863636363636</v>
      </c>
      <c r="Y77">
        <v>1</v>
      </c>
    </row>
    <row r="78" spans="10:33" x14ac:dyDescent="0.2">
      <c r="J78" t="s">
        <v>19</v>
      </c>
      <c r="K78">
        <v>100</v>
      </c>
      <c r="L78">
        <v>1</v>
      </c>
      <c r="O78" t="s">
        <v>6</v>
      </c>
      <c r="P78">
        <v>98.591549295774655</v>
      </c>
      <c r="Q78">
        <v>1</v>
      </c>
      <c r="W78" t="s">
        <v>23</v>
      </c>
      <c r="X78">
        <v>88.94472361809045</v>
      </c>
      <c r="Y78">
        <v>1</v>
      </c>
    </row>
    <row r="79" spans="10:33" x14ac:dyDescent="0.2">
      <c r="J79" t="s">
        <v>19</v>
      </c>
      <c r="K79">
        <v>90.615835777126094</v>
      </c>
      <c r="L79">
        <v>1</v>
      </c>
      <c r="O79" t="s">
        <v>6</v>
      </c>
      <c r="P79">
        <v>98.666666666666671</v>
      </c>
      <c r="Q79">
        <v>1</v>
      </c>
      <c r="W79" t="s">
        <v>23</v>
      </c>
      <c r="X79">
        <v>100</v>
      </c>
      <c r="Y79">
        <v>1</v>
      </c>
    </row>
    <row r="80" spans="10:33" x14ac:dyDescent="0.2">
      <c r="J80" t="s">
        <v>19</v>
      </c>
      <c r="K80">
        <v>100</v>
      </c>
      <c r="L80">
        <v>1</v>
      </c>
      <c r="O80" t="s">
        <v>6</v>
      </c>
      <c r="P80">
        <v>93.675889328063249</v>
      </c>
      <c r="Q80">
        <v>1</v>
      </c>
      <c r="W80" t="s">
        <v>23</v>
      </c>
      <c r="X80">
        <v>98.857142857142861</v>
      </c>
      <c r="Y80">
        <v>1</v>
      </c>
    </row>
    <row r="81" spans="10:25" x14ac:dyDescent="0.2">
      <c r="J81" t="s">
        <v>19</v>
      </c>
      <c r="K81">
        <v>27.167630057803464</v>
      </c>
      <c r="L81">
        <v>1</v>
      </c>
      <c r="O81" t="s">
        <v>6</v>
      </c>
      <c r="P81">
        <v>89.667896678966784</v>
      </c>
      <c r="Q81">
        <v>1</v>
      </c>
      <c r="W81" t="s">
        <v>23</v>
      </c>
      <c r="X81">
        <v>92.5</v>
      </c>
      <c r="Y81">
        <v>1</v>
      </c>
    </row>
    <row r="82" spans="10:25" x14ac:dyDescent="0.2">
      <c r="J82" t="s">
        <v>19</v>
      </c>
      <c r="K82">
        <v>46.103896103896105</v>
      </c>
      <c r="L82">
        <v>1</v>
      </c>
      <c r="O82" t="s">
        <v>6</v>
      </c>
      <c r="P82">
        <v>74.766355140186917</v>
      </c>
      <c r="Q82">
        <v>1</v>
      </c>
      <c r="W82" t="s">
        <v>23</v>
      </c>
      <c r="X82">
        <v>96.969696969696969</v>
      </c>
      <c r="Y82">
        <v>1</v>
      </c>
    </row>
    <row r="83" spans="10:25" x14ac:dyDescent="0.2">
      <c r="J83" t="s">
        <v>19</v>
      </c>
      <c r="K83">
        <v>40</v>
      </c>
      <c r="L83">
        <v>1</v>
      </c>
      <c r="O83" t="s">
        <v>6</v>
      </c>
      <c r="P83">
        <v>59.333333333333336</v>
      </c>
      <c r="Q83">
        <v>1</v>
      </c>
      <c r="W83" t="s">
        <v>23</v>
      </c>
      <c r="X83">
        <v>93.023255813953483</v>
      </c>
      <c r="Y83">
        <v>1</v>
      </c>
    </row>
    <row r="84" spans="10:25" x14ac:dyDescent="0.2">
      <c r="J84" t="s">
        <v>19</v>
      </c>
      <c r="K84">
        <v>100</v>
      </c>
      <c r="L84">
        <v>1</v>
      </c>
      <c r="O84" t="s">
        <v>6</v>
      </c>
      <c r="P84">
        <v>76.923076923076934</v>
      </c>
      <c r="Q84">
        <v>1</v>
      </c>
      <c r="W84" t="s">
        <v>23</v>
      </c>
      <c r="X84">
        <v>89.473684210526315</v>
      </c>
      <c r="Y84">
        <v>1</v>
      </c>
    </row>
    <row r="85" spans="10:25" x14ac:dyDescent="0.2">
      <c r="J85" t="s">
        <v>19</v>
      </c>
      <c r="K85">
        <v>89.870129870129873</v>
      </c>
      <c r="L85">
        <v>1</v>
      </c>
      <c r="W85" t="s">
        <v>23</v>
      </c>
      <c r="X85">
        <v>70.103092783505147</v>
      </c>
      <c r="Y85">
        <v>1</v>
      </c>
    </row>
    <row r="86" spans="10:25" x14ac:dyDescent="0.2">
      <c r="J86" t="s">
        <v>19</v>
      </c>
      <c r="K86">
        <v>91.875</v>
      </c>
      <c r="L86">
        <v>1</v>
      </c>
      <c r="W86" t="s">
        <v>23</v>
      </c>
      <c r="X86">
        <v>97.385620915032675</v>
      </c>
      <c r="Y86">
        <v>1</v>
      </c>
    </row>
    <row r="87" spans="10:25" x14ac:dyDescent="0.2">
      <c r="J87" t="s">
        <v>19</v>
      </c>
      <c r="K87">
        <v>84.848484848484844</v>
      </c>
      <c r="L87">
        <v>1</v>
      </c>
      <c r="W87" t="s">
        <v>23</v>
      </c>
      <c r="X87">
        <v>86.666666666666671</v>
      </c>
      <c r="Y87">
        <v>1</v>
      </c>
    </row>
    <row r="88" spans="10:25" x14ac:dyDescent="0.2">
      <c r="J88" t="s">
        <v>19</v>
      </c>
      <c r="K88">
        <v>98.130841121495322</v>
      </c>
      <c r="L88">
        <v>1</v>
      </c>
      <c r="W88" t="s">
        <v>23</v>
      </c>
      <c r="X88">
        <v>92.622950819672127</v>
      </c>
      <c r="Y88">
        <v>1</v>
      </c>
    </row>
    <row r="89" spans="10:25" x14ac:dyDescent="0.2">
      <c r="J89" t="s">
        <v>19</v>
      </c>
      <c r="K89">
        <v>100</v>
      </c>
      <c r="L89">
        <v>1</v>
      </c>
      <c r="W89" t="s">
        <v>23</v>
      </c>
      <c r="X89">
        <v>100</v>
      </c>
      <c r="Y89">
        <v>1</v>
      </c>
    </row>
    <row r="90" spans="10:25" x14ac:dyDescent="0.2">
      <c r="J90" t="s">
        <v>19</v>
      </c>
      <c r="K90">
        <v>93</v>
      </c>
      <c r="L90">
        <v>1</v>
      </c>
    </row>
    <row r="91" spans="10:25" x14ac:dyDescent="0.2">
      <c r="J91" t="s">
        <v>19</v>
      </c>
      <c r="K91">
        <v>100</v>
      </c>
      <c r="L91">
        <v>1</v>
      </c>
    </row>
    <row r="92" spans="10:25" x14ac:dyDescent="0.2">
      <c r="J92" t="s">
        <v>19</v>
      </c>
      <c r="K92">
        <v>99.242424242424249</v>
      </c>
      <c r="L92">
        <v>1</v>
      </c>
    </row>
    <row r="93" spans="10:25" x14ac:dyDescent="0.2">
      <c r="J93" t="s">
        <v>19</v>
      </c>
      <c r="K93">
        <v>89.051094890510953</v>
      </c>
      <c r="L93">
        <v>1</v>
      </c>
    </row>
    <row r="94" spans="10:25" x14ac:dyDescent="0.2">
      <c r="J94" t="s">
        <v>19</v>
      </c>
      <c r="K94">
        <v>98.4375</v>
      </c>
      <c r="L94">
        <v>1</v>
      </c>
    </row>
    <row r="95" spans="10:25" x14ac:dyDescent="0.2">
      <c r="J95" t="s">
        <v>19</v>
      </c>
      <c r="K95">
        <v>70.212765957446805</v>
      </c>
      <c r="L95">
        <v>1</v>
      </c>
    </row>
  </sheetData>
  <mergeCells count="1">
    <mergeCell ref="B5:I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77047-828F-2A40-9147-F4E49AC74ED7}">
  <dimension ref="A1:AG95"/>
  <sheetViews>
    <sheetView workbookViewId="0">
      <selection sqref="A1:I14"/>
    </sheetView>
  </sheetViews>
  <sheetFormatPr baseColWidth="10" defaultRowHeight="16" x14ac:dyDescent="0.2"/>
  <sheetData>
    <row r="1" spans="1:33" x14ac:dyDescent="0.2">
      <c r="B1" t="s">
        <v>0</v>
      </c>
      <c r="C1" t="s">
        <v>1</v>
      </c>
      <c r="K1" t="s">
        <v>17</v>
      </c>
      <c r="L1" t="s">
        <v>15</v>
      </c>
      <c r="M1" t="s">
        <v>20</v>
      </c>
      <c r="O1" t="s">
        <v>17</v>
      </c>
      <c r="P1" t="s">
        <v>15</v>
      </c>
      <c r="Q1" t="s">
        <v>20</v>
      </c>
      <c r="S1" t="s">
        <v>17</v>
      </c>
      <c r="T1" t="s">
        <v>15</v>
      </c>
      <c r="U1" t="s">
        <v>20</v>
      </c>
      <c r="W1" t="s">
        <v>17</v>
      </c>
      <c r="X1" t="s">
        <v>15</v>
      </c>
      <c r="Y1" t="s">
        <v>20</v>
      </c>
      <c r="AA1" t="s">
        <v>17</v>
      </c>
      <c r="AB1" t="s">
        <v>15</v>
      </c>
      <c r="AC1" t="s">
        <v>20</v>
      </c>
      <c r="AE1" t="s">
        <v>17</v>
      </c>
      <c r="AF1" t="s">
        <v>15</v>
      </c>
      <c r="AG1" t="s">
        <v>20</v>
      </c>
    </row>
    <row r="2" spans="1:33" x14ac:dyDescent="0.2">
      <c r="A2" t="s">
        <v>2</v>
      </c>
      <c r="B2" t="s">
        <v>3</v>
      </c>
      <c r="C2" t="s">
        <v>6</v>
      </c>
      <c r="K2" t="s">
        <v>6</v>
      </c>
      <c r="L2">
        <v>38</v>
      </c>
      <c r="M2">
        <v>1</v>
      </c>
      <c r="O2" t="s">
        <v>19</v>
      </c>
      <c r="P2">
        <v>2491</v>
      </c>
      <c r="Q2">
        <v>1</v>
      </c>
      <c r="S2" t="s">
        <v>22</v>
      </c>
      <c r="T2">
        <v>1538</v>
      </c>
      <c r="U2">
        <v>1</v>
      </c>
      <c r="W2" t="s">
        <v>28</v>
      </c>
      <c r="X2">
        <v>2172</v>
      </c>
      <c r="Y2">
        <v>1</v>
      </c>
      <c r="AA2" t="s">
        <v>19</v>
      </c>
      <c r="AB2">
        <v>579</v>
      </c>
      <c r="AC2">
        <v>1</v>
      </c>
      <c r="AE2" t="s">
        <v>6</v>
      </c>
      <c r="AF2">
        <v>66</v>
      </c>
      <c r="AG2">
        <v>1</v>
      </c>
    </row>
    <row r="3" spans="1:33" x14ac:dyDescent="0.2">
      <c r="A3" s="1" t="s">
        <v>5</v>
      </c>
      <c r="B3" s="1" t="s">
        <v>3</v>
      </c>
      <c r="C3" s="1" t="s">
        <v>4</v>
      </c>
      <c r="K3" t="s">
        <v>6</v>
      </c>
      <c r="L3">
        <v>95</v>
      </c>
      <c r="M3">
        <v>1</v>
      </c>
      <c r="O3" t="s">
        <v>19</v>
      </c>
      <c r="P3">
        <v>362</v>
      </c>
      <c r="Q3">
        <v>1</v>
      </c>
      <c r="S3" t="s">
        <v>22</v>
      </c>
      <c r="T3">
        <v>902</v>
      </c>
      <c r="U3">
        <v>1</v>
      </c>
      <c r="W3" t="s">
        <v>28</v>
      </c>
      <c r="Y3">
        <v>0</v>
      </c>
      <c r="AA3" t="s">
        <v>19</v>
      </c>
      <c r="AB3">
        <v>229</v>
      </c>
      <c r="AC3">
        <v>1</v>
      </c>
      <c r="AE3" t="s">
        <v>6</v>
      </c>
      <c r="AF3">
        <v>136</v>
      </c>
      <c r="AG3">
        <v>1</v>
      </c>
    </row>
    <row r="4" spans="1:33" x14ac:dyDescent="0.2">
      <c r="K4" t="s">
        <v>6</v>
      </c>
      <c r="L4">
        <v>94</v>
      </c>
      <c r="M4">
        <v>1</v>
      </c>
      <c r="O4" t="s">
        <v>19</v>
      </c>
      <c r="P4">
        <v>1155</v>
      </c>
      <c r="Q4">
        <v>1</v>
      </c>
      <c r="S4" t="s">
        <v>22</v>
      </c>
      <c r="T4">
        <v>217</v>
      </c>
      <c r="U4">
        <v>1</v>
      </c>
      <c r="W4" t="s">
        <v>28</v>
      </c>
      <c r="X4">
        <v>230</v>
      </c>
      <c r="Y4">
        <v>1</v>
      </c>
      <c r="AA4" t="s">
        <v>19</v>
      </c>
      <c r="AB4">
        <v>243</v>
      </c>
      <c r="AC4">
        <v>1</v>
      </c>
      <c r="AE4" t="s">
        <v>6</v>
      </c>
      <c r="AF4">
        <v>130</v>
      </c>
      <c r="AG4">
        <v>1</v>
      </c>
    </row>
    <row r="5" spans="1:33" x14ac:dyDescent="0.2">
      <c r="A5" t="s">
        <v>7</v>
      </c>
      <c r="B5" s="5" t="s">
        <v>8</v>
      </c>
      <c r="C5" s="5"/>
      <c r="D5" s="5"/>
      <c r="E5" s="5"/>
      <c r="F5" s="5"/>
      <c r="G5" s="5"/>
      <c r="H5" s="5"/>
      <c r="I5" s="5"/>
      <c r="K5" t="s">
        <v>6</v>
      </c>
      <c r="L5">
        <v>109</v>
      </c>
      <c r="M5">
        <v>1</v>
      </c>
      <c r="O5" t="s">
        <v>19</v>
      </c>
      <c r="P5">
        <v>1329</v>
      </c>
      <c r="Q5">
        <v>1</v>
      </c>
      <c r="S5" t="s">
        <v>22</v>
      </c>
      <c r="T5">
        <v>412</v>
      </c>
      <c r="U5">
        <v>1</v>
      </c>
      <c r="W5" t="s">
        <v>28</v>
      </c>
      <c r="X5">
        <v>553</v>
      </c>
      <c r="Y5">
        <v>1</v>
      </c>
      <c r="AA5" t="s">
        <v>19</v>
      </c>
      <c r="AB5">
        <v>355</v>
      </c>
      <c r="AC5">
        <v>1</v>
      </c>
      <c r="AE5" t="s">
        <v>6</v>
      </c>
      <c r="AF5">
        <v>532</v>
      </c>
      <c r="AG5">
        <v>1</v>
      </c>
    </row>
    <row r="6" spans="1:33" x14ac:dyDescent="0.2">
      <c r="K6" t="s">
        <v>6</v>
      </c>
      <c r="L6">
        <v>131</v>
      </c>
      <c r="M6">
        <v>1</v>
      </c>
      <c r="O6" t="s">
        <v>19</v>
      </c>
      <c r="P6">
        <v>113</v>
      </c>
      <c r="Q6">
        <v>1</v>
      </c>
      <c r="S6" t="s">
        <v>22</v>
      </c>
      <c r="T6">
        <v>267</v>
      </c>
      <c r="U6">
        <v>1</v>
      </c>
      <c r="W6" t="s">
        <v>28</v>
      </c>
      <c r="X6">
        <v>268</v>
      </c>
      <c r="Y6">
        <v>1</v>
      </c>
      <c r="AA6" t="s">
        <v>19</v>
      </c>
      <c r="AB6">
        <v>209</v>
      </c>
      <c r="AC6">
        <v>1</v>
      </c>
      <c r="AE6" t="s">
        <v>6</v>
      </c>
      <c r="AF6">
        <v>42</v>
      </c>
      <c r="AG6">
        <v>1</v>
      </c>
    </row>
    <row r="7" spans="1:33" x14ac:dyDescent="0.2">
      <c r="A7" t="s">
        <v>9</v>
      </c>
      <c r="B7" t="s">
        <v>10</v>
      </c>
      <c r="K7" t="s">
        <v>6</v>
      </c>
      <c r="L7">
        <v>189</v>
      </c>
      <c r="M7">
        <v>1</v>
      </c>
      <c r="O7" t="s">
        <v>19</v>
      </c>
      <c r="P7">
        <v>1585</v>
      </c>
      <c r="Q7">
        <v>1</v>
      </c>
      <c r="S7" t="s">
        <v>22</v>
      </c>
      <c r="T7">
        <v>434</v>
      </c>
      <c r="U7">
        <v>1</v>
      </c>
      <c r="W7" t="s">
        <v>28</v>
      </c>
      <c r="X7">
        <v>2051</v>
      </c>
      <c r="Y7">
        <v>1</v>
      </c>
      <c r="AA7" t="s">
        <v>19</v>
      </c>
      <c r="AB7">
        <v>390</v>
      </c>
      <c r="AC7">
        <v>1</v>
      </c>
      <c r="AE7" t="s">
        <v>6</v>
      </c>
      <c r="AF7">
        <v>156</v>
      </c>
      <c r="AG7">
        <v>1</v>
      </c>
    </row>
    <row r="8" spans="1:33" x14ac:dyDescent="0.2">
      <c r="A8" t="s">
        <v>11</v>
      </c>
      <c r="B8" t="s">
        <v>12</v>
      </c>
      <c r="K8" t="s">
        <v>6</v>
      </c>
      <c r="L8">
        <v>406</v>
      </c>
      <c r="M8">
        <v>1</v>
      </c>
      <c r="O8" t="s">
        <v>19</v>
      </c>
      <c r="Q8">
        <v>0</v>
      </c>
      <c r="S8" t="s">
        <v>22</v>
      </c>
      <c r="T8">
        <v>546</v>
      </c>
      <c r="U8">
        <v>1</v>
      </c>
      <c r="W8" t="s">
        <v>28</v>
      </c>
      <c r="X8">
        <v>206</v>
      </c>
      <c r="Y8">
        <v>1</v>
      </c>
      <c r="AA8" t="s">
        <v>19</v>
      </c>
      <c r="AB8">
        <v>445</v>
      </c>
      <c r="AC8">
        <v>1</v>
      </c>
      <c r="AE8" t="s">
        <v>6</v>
      </c>
      <c r="AF8">
        <v>88</v>
      </c>
      <c r="AG8">
        <v>1</v>
      </c>
    </row>
    <row r="9" spans="1:33" x14ac:dyDescent="0.2">
      <c r="K9" t="s">
        <v>6</v>
      </c>
      <c r="L9">
        <v>357</v>
      </c>
      <c r="M9">
        <v>1</v>
      </c>
      <c r="O9" t="s">
        <v>19</v>
      </c>
      <c r="P9">
        <v>596</v>
      </c>
      <c r="Q9">
        <v>1</v>
      </c>
      <c r="S9" t="s">
        <v>22</v>
      </c>
      <c r="T9">
        <v>601</v>
      </c>
      <c r="U9">
        <v>1</v>
      </c>
      <c r="W9" t="s">
        <v>28</v>
      </c>
      <c r="X9">
        <v>397</v>
      </c>
      <c r="Y9">
        <v>1</v>
      </c>
      <c r="AA9" t="s">
        <v>19</v>
      </c>
      <c r="AB9">
        <v>340</v>
      </c>
      <c r="AC9">
        <v>1</v>
      </c>
      <c r="AE9" t="s">
        <v>6</v>
      </c>
      <c r="AF9">
        <v>224</v>
      </c>
      <c r="AG9">
        <v>1</v>
      </c>
    </row>
    <row r="10" spans="1:33" x14ac:dyDescent="0.2">
      <c r="K10" t="s">
        <v>6</v>
      </c>
      <c r="L10">
        <v>191</v>
      </c>
      <c r="M10">
        <v>1</v>
      </c>
      <c r="O10" t="s">
        <v>19</v>
      </c>
      <c r="P10">
        <v>708</v>
      </c>
      <c r="Q10">
        <v>1</v>
      </c>
      <c r="S10" t="s">
        <v>22</v>
      </c>
      <c r="T10">
        <v>1312</v>
      </c>
      <c r="U10">
        <v>1</v>
      </c>
      <c r="W10" t="s">
        <v>28</v>
      </c>
      <c r="Y10">
        <v>0</v>
      </c>
      <c r="AA10" t="s">
        <v>19</v>
      </c>
      <c r="AB10">
        <v>171</v>
      </c>
      <c r="AC10">
        <v>1</v>
      </c>
      <c r="AE10" t="s">
        <v>6</v>
      </c>
      <c r="AF10">
        <v>118</v>
      </c>
      <c r="AG10">
        <v>1</v>
      </c>
    </row>
    <row r="11" spans="1:33" x14ac:dyDescent="0.2">
      <c r="A11" t="s">
        <v>26</v>
      </c>
      <c r="K11" t="s">
        <v>6</v>
      </c>
      <c r="L11">
        <v>24</v>
      </c>
      <c r="M11">
        <v>1</v>
      </c>
      <c r="O11" t="s">
        <v>19</v>
      </c>
      <c r="Q11">
        <v>0</v>
      </c>
      <c r="S11" t="s">
        <v>22</v>
      </c>
      <c r="T11">
        <v>292</v>
      </c>
      <c r="U11">
        <v>1</v>
      </c>
      <c r="W11" t="s">
        <v>28</v>
      </c>
      <c r="X11">
        <v>193</v>
      </c>
      <c r="Y11">
        <v>1</v>
      </c>
      <c r="AA11" t="s">
        <v>19</v>
      </c>
      <c r="AB11">
        <v>397</v>
      </c>
      <c r="AC11">
        <v>1</v>
      </c>
      <c r="AE11" t="s">
        <v>6</v>
      </c>
      <c r="AF11">
        <v>224</v>
      </c>
      <c r="AG11">
        <v>1</v>
      </c>
    </row>
    <row r="12" spans="1:33" x14ac:dyDescent="0.2">
      <c r="K12" t="s">
        <v>6</v>
      </c>
      <c r="L12">
        <v>306</v>
      </c>
      <c r="M12">
        <v>1</v>
      </c>
      <c r="O12" t="s">
        <v>19</v>
      </c>
      <c r="P12">
        <v>335</v>
      </c>
      <c r="Q12">
        <v>1</v>
      </c>
      <c r="S12" t="s">
        <v>22</v>
      </c>
      <c r="T12">
        <v>610</v>
      </c>
      <c r="U12">
        <v>1</v>
      </c>
      <c r="W12" t="s">
        <v>28</v>
      </c>
      <c r="X12">
        <v>188</v>
      </c>
      <c r="Y12">
        <v>1</v>
      </c>
      <c r="AA12" t="s">
        <v>19</v>
      </c>
      <c r="AB12">
        <v>446</v>
      </c>
      <c r="AC12">
        <v>1</v>
      </c>
      <c r="AE12" t="s">
        <v>6</v>
      </c>
      <c r="AF12">
        <v>333</v>
      </c>
      <c r="AG12">
        <v>1</v>
      </c>
    </row>
    <row r="13" spans="1:33" x14ac:dyDescent="0.2">
      <c r="K13" t="s">
        <v>6</v>
      </c>
      <c r="L13">
        <v>316</v>
      </c>
      <c r="M13">
        <v>1</v>
      </c>
      <c r="O13" t="s">
        <v>19</v>
      </c>
      <c r="P13">
        <v>76</v>
      </c>
      <c r="Q13">
        <v>1</v>
      </c>
      <c r="S13" t="s">
        <v>22</v>
      </c>
      <c r="T13">
        <v>360</v>
      </c>
      <c r="U13">
        <v>1</v>
      </c>
      <c r="W13" t="s">
        <v>28</v>
      </c>
      <c r="X13">
        <v>604</v>
      </c>
      <c r="Y13">
        <v>1</v>
      </c>
      <c r="AA13" t="s">
        <v>19</v>
      </c>
      <c r="AB13">
        <v>240</v>
      </c>
      <c r="AC13">
        <v>1</v>
      </c>
      <c r="AE13" t="s">
        <v>6</v>
      </c>
      <c r="AF13">
        <v>191</v>
      </c>
      <c r="AG13">
        <v>1</v>
      </c>
    </row>
    <row r="14" spans="1:33" x14ac:dyDescent="0.2">
      <c r="A14" t="s">
        <v>15</v>
      </c>
      <c r="B14" t="s">
        <v>16</v>
      </c>
      <c r="K14" t="s">
        <v>6</v>
      </c>
      <c r="L14">
        <v>128</v>
      </c>
      <c r="M14">
        <v>1</v>
      </c>
      <c r="O14" t="s">
        <v>19</v>
      </c>
      <c r="P14">
        <v>357</v>
      </c>
      <c r="Q14">
        <v>1</v>
      </c>
      <c r="S14" t="s">
        <v>22</v>
      </c>
      <c r="T14">
        <v>2818</v>
      </c>
      <c r="U14">
        <v>1</v>
      </c>
      <c r="W14" t="s">
        <v>28</v>
      </c>
      <c r="Y14">
        <v>0</v>
      </c>
      <c r="AA14" t="s">
        <v>19</v>
      </c>
      <c r="AB14">
        <v>694</v>
      </c>
      <c r="AC14">
        <v>1</v>
      </c>
      <c r="AE14" t="s">
        <v>6</v>
      </c>
      <c r="AF14">
        <v>279</v>
      </c>
      <c r="AG14">
        <v>1</v>
      </c>
    </row>
    <row r="15" spans="1:33" x14ac:dyDescent="0.2">
      <c r="K15" t="s">
        <v>6</v>
      </c>
      <c r="L15">
        <v>358</v>
      </c>
      <c r="M15">
        <v>1</v>
      </c>
      <c r="O15" t="s">
        <v>19</v>
      </c>
      <c r="P15">
        <v>437</v>
      </c>
      <c r="Q15">
        <v>1</v>
      </c>
      <c r="S15" t="s">
        <v>22</v>
      </c>
      <c r="T15">
        <v>209</v>
      </c>
      <c r="U15">
        <v>1</v>
      </c>
      <c r="W15" t="s">
        <v>28</v>
      </c>
      <c r="X15">
        <v>312</v>
      </c>
      <c r="Y15">
        <v>1</v>
      </c>
      <c r="AA15" t="s">
        <v>19</v>
      </c>
      <c r="AC15">
        <v>0</v>
      </c>
      <c r="AE15" t="s">
        <v>6</v>
      </c>
      <c r="AF15">
        <v>22</v>
      </c>
      <c r="AG15">
        <v>1</v>
      </c>
    </row>
    <row r="16" spans="1:33" x14ac:dyDescent="0.2">
      <c r="K16" t="s">
        <v>6</v>
      </c>
      <c r="L16">
        <v>235</v>
      </c>
      <c r="M16">
        <v>1</v>
      </c>
      <c r="O16" t="s">
        <v>19</v>
      </c>
      <c r="P16">
        <v>248</v>
      </c>
      <c r="Q16">
        <v>1</v>
      </c>
      <c r="S16" t="s">
        <v>22</v>
      </c>
      <c r="T16">
        <v>428</v>
      </c>
      <c r="U16">
        <v>1</v>
      </c>
      <c r="W16" t="s">
        <v>28</v>
      </c>
      <c r="X16">
        <v>415</v>
      </c>
      <c r="Y16">
        <v>1</v>
      </c>
      <c r="AA16" t="s">
        <v>19</v>
      </c>
      <c r="AB16">
        <v>617</v>
      </c>
      <c r="AC16">
        <v>1</v>
      </c>
      <c r="AE16" t="s">
        <v>6</v>
      </c>
      <c r="AF16">
        <v>52</v>
      </c>
      <c r="AG16">
        <v>1</v>
      </c>
    </row>
    <row r="17" spans="11:33" x14ac:dyDescent="0.2">
      <c r="K17" t="s">
        <v>6</v>
      </c>
      <c r="L17">
        <v>390</v>
      </c>
      <c r="M17">
        <v>1</v>
      </c>
      <c r="O17" t="s">
        <v>19</v>
      </c>
      <c r="P17">
        <v>273</v>
      </c>
      <c r="Q17">
        <v>1</v>
      </c>
      <c r="S17" t="s">
        <v>22</v>
      </c>
      <c r="T17">
        <v>724</v>
      </c>
      <c r="U17">
        <v>1</v>
      </c>
      <c r="W17" t="s">
        <v>28</v>
      </c>
      <c r="X17">
        <v>251</v>
      </c>
      <c r="Y17">
        <v>1</v>
      </c>
      <c r="AA17" t="s">
        <v>19</v>
      </c>
      <c r="AB17">
        <v>269</v>
      </c>
      <c r="AC17">
        <v>1</v>
      </c>
      <c r="AE17" t="s">
        <v>6</v>
      </c>
      <c r="AF17">
        <v>122</v>
      </c>
      <c r="AG17">
        <v>1</v>
      </c>
    </row>
    <row r="18" spans="11:33" x14ac:dyDescent="0.2">
      <c r="K18" t="s">
        <v>6</v>
      </c>
      <c r="M18">
        <v>0</v>
      </c>
      <c r="O18" t="s">
        <v>19</v>
      </c>
      <c r="P18">
        <v>678</v>
      </c>
      <c r="Q18">
        <v>1</v>
      </c>
      <c r="S18" t="s">
        <v>22</v>
      </c>
      <c r="T18">
        <v>1561</v>
      </c>
      <c r="U18">
        <v>1</v>
      </c>
      <c r="W18" t="s">
        <v>19</v>
      </c>
      <c r="X18">
        <v>2332</v>
      </c>
      <c r="Y18">
        <v>1</v>
      </c>
      <c r="AA18" t="s">
        <v>19</v>
      </c>
      <c r="AB18">
        <v>285</v>
      </c>
      <c r="AC18">
        <v>1</v>
      </c>
      <c r="AE18" t="s">
        <v>6</v>
      </c>
      <c r="AF18">
        <v>161</v>
      </c>
      <c r="AG18">
        <v>1</v>
      </c>
    </row>
    <row r="19" spans="11:33" x14ac:dyDescent="0.2">
      <c r="K19" t="s">
        <v>6</v>
      </c>
      <c r="L19">
        <v>201</v>
      </c>
      <c r="M19">
        <v>1</v>
      </c>
      <c r="O19" t="s">
        <v>19</v>
      </c>
      <c r="Q19">
        <v>0</v>
      </c>
      <c r="S19" t="s">
        <v>22</v>
      </c>
      <c r="T19">
        <v>622</v>
      </c>
      <c r="U19">
        <v>1</v>
      </c>
      <c r="W19" t="s">
        <v>19</v>
      </c>
      <c r="X19">
        <v>13</v>
      </c>
      <c r="Y19">
        <v>1</v>
      </c>
      <c r="AA19" t="s">
        <v>19</v>
      </c>
      <c r="AB19">
        <v>390</v>
      </c>
      <c r="AC19">
        <v>1</v>
      </c>
      <c r="AE19" t="s">
        <v>6</v>
      </c>
      <c r="AF19">
        <v>61</v>
      </c>
      <c r="AG19">
        <v>1</v>
      </c>
    </row>
    <row r="20" spans="11:33" x14ac:dyDescent="0.2">
      <c r="K20" t="s">
        <v>6</v>
      </c>
      <c r="L20">
        <v>263</v>
      </c>
      <c r="M20">
        <v>1</v>
      </c>
      <c r="O20" t="s">
        <v>19</v>
      </c>
      <c r="P20">
        <v>628</v>
      </c>
      <c r="Q20">
        <v>1</v>
      </c>
      <c r="S20" t="s">
        <v>22</v>
      </c>
      <c r="T20">
        <v>425</v>
      </c>
      <c r="U20">
        <v>1</v>
      </c>
      <c r="W20" t="s">
        <v>19</v>
      </c>
      <c r="X20">
        <v>239</v>
      </c>
      <c r="Y20">
        <v>1</v>
      </c>
      <c r="AA20" t="s">
        <v>19</v>
      </c>
      <c r="AB20">
        <v>410</v>
      </c>
      <c r="AC20">
        <v>1</v>
      </c>
      <c r="AE20" t="s">
        <v>6</v>
      </c>
      <c r="AF20">
        <v>339</v>
      </c>
      <c r="AG20">
        <v>1</v>
      </c>
    </row>
    <row r="21" spans="11:33" x14ac:dyDescent="0.2">
      <c r="K21" t="s">
        <v>6</v>
      </c>
      <c r="L21">
        <v>7</v>
      </c>
      <c r="M21">
        <v>1</v>
      </c>
      <c r="O21" t="s">
        <v>19</v>
      </c>
      <c r="P21">
        <v>500</v>
      </c>
      <c r="Q21">
        <v>1</v>
      </c>
      <c r="S21" t="s">
        <v>22</v>
      </c>
      <c r="T21">
        <v>2375</v>
      </c>
      <c r="U21">
        <v>1</v>
      </c>
      <c r="W21" t="s">
        <v>19</v>
      </c>
      <c r="X21">
        <v>341</v>
      </c>
      <c r="Y21">
        <v>1</v>
      </c>
      <c r="AA21" t="s">
        <v>19</v>
      </c>
      <c r="AB21">
        <v>1739</v>
      </c>
      <c r="AC21">
        <v>1</v>
      </c>
      <c r="AE21" t="s">
        <v>6</v>
      </c>
      <c r="AG21">
        <v>0</v>
      </c>
    </row>
    <row r="22" spans="11:33" x14ac:dyDescent="0.2">
      <c r="K22" t="s">
        <v>6</v>
      </c>
      <c r="L22">
        <v>41</v>
      </c>
      <c r="M22">
        <v>1</v>
      </c>
      <c r="O22" t="s">
        <v>21</v>
      </c>
      <c r="P22">
        <v>997</v>
      </c>
      <c r="Q22">
        <v>1</v>
      </c>
      <c r="S22" t="s">
        <v>22</v>
      </c>
      <c r="T22">
        <v>212</v>
      </c>
      <c r="U22">
        <v>1</v>
      </c>
      <c r="W22" t="s">
        <v>19</v>
      </c>
      <c r="X22">
        <v>647</v>
      </c>
      <c r="Y22">
        <v>1</v>
      </c>
      <c r="AA22" t="s">
        <v>24</v>
      </c>
      <c r="AB22">
        <v>156</v>
      </c>
      <c r="AC22">
        <v>1</v>
      </c>
      <c r="AE22" t="s">
        <v>6</v>
      </c>
      <c r="AF22">
        <v>305</v>
      </c>
      <c r="AG22">
        <v>1</v>
      </c>
    </row>
    <row r="23" spans="11:33" x14ac:dyDescent="0.2">
      <c r="K23" t="s">
        <v>6</v>
      </c>
      <c r="L23">
        <v>12</v>
      </c>
      <c r="M23">
        <v>1</v>
      </c>
      <c r="O23" t="s">
        <v>21</v>
      </c>
      <c r="P23">
        <v>2209</v>
      </c>
      <c r="Q23">
        <v>1</v>
      </c>
      <c r="S23" t="s">
        <v>22</v>
      </c>
      <c r="T23">
        <v>144</v>
      </c>
      <c r="U23">
        <v>1</v>
      </c>
      <c r="W23" t="s">
        <v>19</v>
      </c>
      <c r="X23">
        <v>203</v>
      </c>
      <c r="Y23">
        <v>1</v>
      </c>
      <c r="AA23" t="s">
        <v>24</v>
      </c>
      <c r="AB23">
        <v>306</v>
      </c>
      <c r="AC23">
        <v>1</v>
      </c>
      <c r="AE23" t="s">
        <v>19</v>
      </c>
      <c r="AF23">
        <v>157</v>
      </c>
      <c r="AG23">
        <v>1</v>
      </c>
    </row>
    <row r="24" spans="11:33" x14ac:dyDescent="0.2">
      <c r="K24" t="s">
        <v>6</v>
      </c>
      <c r="L24">
        <v>92</v>
      </c>
      <c r="M24">
        <v>1</v>
      </c>
      <c r="O24" t="s">
        <v>21</v>
      </c>
      <c r="P24">
        <v>484</v>
      </c>
      <c r="Q24">
        <v>1</v>
      </c>
      <c r="S24" t="s">
        <v>22</v>
      </c>
      <c r="T24">
        <v>340</v>
      </c>
      <c r="U24">
        <v>1</v>
      </c>
      <c r="W24" t="s">
        <v>19</v>
      </c>
      <c r="X24">
        <v>227</v>
      </c>
      <c r="Y24">
        <v>1</v>
      </c>
      <c r="AA24" t="s">
        <v>24</v>
      </c>
      <c r="AB24">
        <v>689</v>
      </c>
      <c r="AC24">
        <v>1</v>
      </c>
      <c r="AE24" t="s">
        <v>19</v>
      </c>
      <c r="AF24">
        <v>100</v>
      </c>
      <c r="AG24">
        <v>1</v>
      </c>
    </row>
    <row r="25" spans="11:33" x14ac:dyDescent="0.2">
      <c r="K25" t="s">
        <v>6</v>
      </c>
      <c r="L25">
        <v>48</v>
      </c>
      <c r="M25">
        <v>1</v>
      </c>
      <c r="O25" t="s">
        <v>21</v>
      </c>
      <c r="P25">
        <v>256</v>
      </c>
      <c r="Q25">
        <v>1</v>
      </c>
      <c r="S25" t="s">
        <v>22</v>
      </c>
      <c r="T25">
        <v>79</v>
      </c>
      <c r="U25">
        <v>1</v>
      </c>
      <c r="W25" t="s">
        <v>19</v>
      </c>
      <c r="X25">
        <v>337</v>
      </c>
      <c r="Y25">
        <v>1</v>
      </c>
      <c r="AA25" t="s">
        <v>24</v>
      </c>
      <c r="AB25">
        <v>373</v>
      </c>
      <c r="AC25">
        <v>1</v>
      </c>
      <c r="AE25" t="s">
        <v>19</v>
      </c>
      <c r="AF25">
        <v>152</v>
      </c>
      <c r="AG25">
        <v>1</v>
      </c>
    </row>
    <row r="26" spans="11:33" x14ac:dyDescent="0.2">
      <c r="K26" t="s">
        <v>19</v>
      </c>
      <c r="L26">
        <v>516</v>
      </c>
      <c r="M26">
        <v>1</v>
      </c>
      <c r="O26" t="s">
        <v>21</v>
      </c>
      <c r="Q26">
        <v>0</v>
      </c>
      <c r="S26" t="s">
        <v>22</v>
      </c>
      <c r="T26">
        <v>393</v>
      </c>
      <c r="U26">
        <v>1</v>
      </c>
      <c r="W26" t="s">
        <v>19</v>
      </c>
      <c r="X26">
        <v>547</v>
      </c>
      <c r="Y26">
        <v>1</v>
      </c>
      <c r="AA26" t="s">
        <v>24</v>
      </c>
      <c r="AB26">
        <v>235</v>
      </c>
      <c r="AC26">
        <v>1</v>
      </c>
      <c r="AE26" t="s">
        <v>19</v>
      </c>
      <c r="AF26">
        <v>106</v>
      </c>
      <c r="AG26">
        <v>1</v>
      </c>
    </row>
    <row r="27" spans="11:33" x14ac:dyDescent="0.2">
      <c r="K27" t="s">
        <v>19</v>
      </c>
      <c r="L27">
        <v>341</v>
      </c>
      <c r="M27">
        <v>1</v>
      </c>
      <c r="O27" t="s">
        <v>21</v>
      </c>
      <c r="P27">
        <v>337</v>
      </c>
      <c r="Q27">
        <v>1</v>
      </c>
      <c r="S27" t="s">
        <v>22</v>
      </c>
      <c r="T27">
        <v>103</v>
      </c>
      <c r="U27">
        <v>1</v>
      </c>
      <c r="W27" t="s">
        <v>19</v>
      </c>
      <c r="X27">
        <v>161</v>
      </c>
      <c r="Y27">
        <v>1</v>
      </c>
      <c r="AA27" t="s">
        <v>24</v>
      </c>
      <c r="AB27">
        <v>177</v>
      </c>
      <c r="AC27">
        <v>1</v>
      </c>
      <c r="AE27" t="s">
        <v>19</v>
      </c>
      <c r="AF27">
        <v>40</v>
      </c>
      <c r="AG27">
        <v>1</v>
      </c>
    </row>
    <row r="28" spans="11:33" x14ac:dyDescent="0.2">
      <c r="K28" t="s">
        <v>19</v>
      </c>
      <c r="L28">
        <v>372</v>
      </c>
      <c r="M28">
        <v>1</v>
      </c>
      <c r="O28" t="s">
        <v>21</v>
      </c>
      <c r="P28">
        <v>719</v>
      </c>
      <c r="Q28">
        <v>1</v>
      </c>
      <c r="S28" t="s">
        <v>22</v>
      </c>
      <c r="T28">
        <v>46</v>
      </c>
      <c r="U28">
        <v>1</v>
      </c>
      <c r="W28" t="s">
        <v>19</v>
      </c>
      <c r="X28">
        <v>344</v>
      </c>
      <c r="Y28">
        <v>1</v>
      </c>
      <c r="AA28" t="s">
        <v>24</v>
      </c>
      <c r="AB28">
        <v>614</v>
      </c>
      <c r="AC28">
        <v>1</v>
      </c>
      <c r="AE28" t="s">
        <v>19</v>
      </c>
      <c r="AF28">
        <v>116</v>
      </c>
      <c r="AG28">
        <v>1</v>
      </c>
    </row>
    <row r="29" spans="11:33" x14ac:dyDescent="0.2">
      <c r="K29" t="s">
        <v>19</v>
      </c>
      <c r="L29">
        <v>66</v>
      </c>
      <c r="M29">
        <v>1</v>
      </c>
      <c r="O29" t="s">
        <v>21</v>
      </c>
      <c r="P29">
        <v>371</v>
      </c>
      <c r="Q29">
        <v>1</v>
      </c>
      <c r="S29" t="s">
        <v>22</v>
      </c>
      <c r="T29">
        <v>41</v>
      </c>
      <c r="U29">
        <v>1</v>
      </c>
      <c r="W29" t="s">
        <v>19</v>
      </c>
      <c r="X29">
        <v>791</v>
      </c>
      <c r="Y29">
        <v>1</v>
      </c>
      <c r="AA29" t="s">
        <v>24</v>
      </c>
      <c r="AB29">
        <v>432</v>
      </c>
      <c r="AC29">
        <v>1</v>
      </c>
      <c r="AE29" t="s">
        <v>19</v>
      </c>
      <c r="AF29">
        <v>16</v>
      </c>
      <c r="AG29">
        <v>1</v>
      </c>
    </row>
    <row r="30" spans="11:33" x14ac:dyDescent="0.2">
      <c r="K30" t="s">
        <v>19</v>
      </c>
      <c r="L30">
        <v>541</v>
      </c>
      <c r="M30">
        <v>1</v>
      </c>
      <c r="O30" t="s">
        <v>21</v>
      </c>
      <c r="Q30">
        <v>0</v>
      </c>
      <c r="S30" t="s">
        <v>22</v>
      </c>
      <c r="T30">
        <v>177</v>
      </c>
      <c r="U30">
        <v>1</v>
      </c>
      <c r="W30" t="s">
        <v>19</v>
      </c>
      <c r="X30">
        <v>262</v>
      </c>
      <c r="Y30">
        <v>1</v>
      </c>
      <c r="AA30" t="s">
        <v>24</v>
      </c>
      <c r="AB30">
        <v>217</v>
      </c>
      <c r="AC30">
        <v>1</v>
      </c>
      <c r="AE30" t="s">
        <v>19</v>
      </c>
      <c r="AF30">
        <v>152</v>
      </c>
      <c r="AG30">
        <v>1</v>
      </c>
    </row>
    <row r="31" spans="11:33" x14ac:dyDescent="0.2">
      <c r="K31" t="s">
        <v>19</v>
      </c>
      <c r="L31">
        <v>37</v>
      </c>
      <c r="M31">
        <v>1</v>
      </c>
      <c r="O31" t="s">
        <v>21</v>
      </c>
      <c r="P31">
        <v>1228</v>
      </c>
      <c r="Q31">
        <v>1</v>
      </c>
      <c r="S31" t="s">
        <v>22</v>
      </c>
      <c r="T31">
        <v>33</v>
      </c>
      <c r="U31">
        <v>1</v>
      </c>
      <c r="W31" t="s">
        <v>19</v>
      </c>
      <c r="X31">
        <v>192</v>
      </c>
      <c r="Y31">
        <v>1</v>
      </c>
      <c r="AA31" t="s">
        <v>24</v>
      </c>
      <c r="AB31">
        <v>302</v>
      </c>
      <c r="AC31">
        <v>1</v>
      </c>
      <c r="AE31" t="s">
        <v>19</v>
      </c>
      <c r="AF31">
        <v>130</v>
      </c>
      <c r="AG31">
        <v>1</v>
      </c>
    </row>
    <row r="32" spans="11:33" x14ac:dyDescent="0.2">
      <c r="K32" t="s">
        <v>19</v>
      </c>
      <c r="L32">
        <v>466</v>
      </c>
      <c r="M32">
        <v>1</v>
      </c>
      <c r="O32" t="s">
        <v>21</v>
      </c>
      <c r="P32">
        <v>451</v>
      </c>
      <c r="Q32">
        <v>1</v>
      </c>
      <c r="S32" t="s">
        <v>22</v>
      </c>
      <c r="T32">
        <v>387</v>
      </c>
      <c r="U32">
        <v>1</v>
      </c>
      <c r="W32" t="s">
        <v>19</v>
      </c>
      <c r="X32">
        <v>121</v>
      </c>
      <c r="Y32">
        <v>1</v>
      </c>
      <c r="AA32" t="s">
        <v>24</v>
      </c>
      <c r="AB32">
        <v>1225</v>
      </c>
      <c r="AC32">
        <v>1</v>
      </c>
      <c r="AE32" t="s">
        <v>19</v>
      </c>
      <c r="AF32">
        <v>572</v>
      </c>
      <c r="AG32">
        <v>1</v>
      </c>
    </row>
    <row r="33" spans="11:33" x14ac:dyDescent="0.2">
      <c r="K33" t="s">
        <v>19</v>
      </c>
      <c r="L33">
        <v>267</v>
      </c>
      <c r="M33">
        <v>1</v>
      </c>
      <c r="O33" t="s">
        <v>21</v>
      </c>
      <c r="P33">
        <v>382</v>
      </c>
      <c r="Q33">
        <v>1</v>
      </c>
      <c r="S33" t="s">
        <v>19</v>
      </c>
      <c r="T33">
        <v>236</v>
      </c>
      <c r="U33">
        <v>1</v>
      </c>
      <c r="W33" t="s">
        <v>19</v>
      </c>
      <c r="X33">
        <v>202</v>
      </c>
      <c r="Y33">
        <v>1</v>
      </c>
      <c r="AA33" t="s">
        <v>24</v>
      </c>
      <c r="AB33">
        <v>928</v>
      </c>
      <c r="AC33">
        <v>1</v>
      </c>
      <c r="AE33" t="s">
        <v>19</v>
      </c>
      <c r="AF33">
        <v>178</v>
      </c>
      <c r="AG33">
        <v>1</v>
      </c>
    </row>
    <row r="34" spans="11:33" x14ac:dyDescent="0.2">
      <c r="K34" t="s">
        <v>19</v>
      </c>
      <c r="L34">
        <v>1055</v>
      </c>
      <c r="M34">
        <v>1</v>
      </c>
      <c r="O34" t="s">
        <v>21</v>
      </c>
      <c r="P34">
        <v>726</v>
      </c>
      <c r="Q34">
        <v>1</v>
      </c>
      <c r="S34" t="s">
        <v>19</v>
      </c>
      <c r="T34">
        <v>733</v>
      </c>
      <c r="U34">
        <v>1</v>
      </c>
      <c r="W34" t="s">
        <v>19</v>
      </c>
      <c r="X34">
        <v>363</v>
      </c>
      <c r="Y34">
        <v>1</v>
      </c>
      <c r="AA34" t="s">
        <v>24</v>
      </c>
      <c r="AB34">
        <v>21</v>
      </c>
      <c r="AC34">
        <v>1</v>
      </c>
      <c r="AE34" t="s">
        <v>19</v>
      </c>
      <c r="AF34">
        <v>15</v>
      </c>
      <c r="AG34">
        <v>1</v>
      </c>
    </row>
    <row r="35" spans="11:33" x14ac:dyDescent="0.2">
      <c r="K35" t="s">
        <v>19</v>
      </c>
      <c r="L35">
        <v>224</v>
      </c>
      <c r="M35">
        <v>1</v>
      </c>
      <c r="O35" t="s">
        <v>21</v>
      </c>
      <c r="P35">
        <v>456</v>
      </c>
      <c r="Q35">
        <v>1</v>
      </c>
      <c r="S35" t="s">
        <v>19</v>
      </c>
      <c r="T35">
        <v>3244</v>
      </c>
      <c r="U35">
        <v>1</v>
      </c>
      <c r="W35" t="s">
        <v>19</v>
      </c>
      <c r="X35">
        <v>148</v>
      </c>
      <c r="Y35">
        <v>1</v>
      </c>
      <c r="AA35" t="s">
        <v>24</v>
      </c>
      <c r="AB35">
        <v>257</v>
      </c>
      <c r="AC35">
        <v>1</v>
      </c>
      <c r="AE35" t="s">
        <v>19</v>
      </c>
      <c r="AF35">
        <v>35</v>
      </c>
      <c r="AG35">
        <v>1</v>
      </c>
    </row>
    <row r="36" spans="11:33" x14ac:dyDescent="0.2">
      <c r="K36" t="s">
        <v>19</v>
      </c>
      <c r="L36">
        <v>188</v>
      </c>
      <c r="M36">
        <v>1</v>
      </c>
      <c r="O36" t="s">
        <v>21</v>
      </c>
      <c r="P36">
        <v>268</v>
      </c>
      <c r="Q36">
        <v>1</v>
      </c>
      <c r="S36" t="s">
        <v>19</v>
      </c>
      <c r="T36">
        <v>567</v>
      </c>
      <c r="U36">
        <v>1</v>
      </c>
      <c r="W36" t="s">
        <v>6</v>
      </c>
      <c r="X36">
        <v>167</v>
      </c>
      <c r="Y36">
        <v>1</v>
      </c>
      <c r="AA36" t="s">
        <v>24</v>
      </c>
      <c r="AB36">
        <v>354</v>
      </c>
      <c r="AC36">
        <v>1</v>
      </c>
      <c r="AE36" t="s">
        <v>19</v>
      </c>
      <c r="AF36">
        <v>205</v>
      </c>
      <c r="AG36">
        <v>1</v>
      </c>
    </row>
    <row r="37" spans="11:33" x14ac:dyDescent="0.2">
      <c r="K37" t="s">
        <v>19</v>
      </c>
      <c r="L37">
        <v>514</v>
      </c>
      <c r="M37">
        <v>1</v>
      </c>
      <c r="O37" t="s">
        <v>21</v>
      </c>
      <c r="P37">
        <v>209</v>
      </c>
      <c r="Q37">
        <v>1</v>
      </c>
      <c r="S37" t="s">
        <v>19</v>
      </c>
      <c r="T37">
        <v>1122</v>
      </c>
      <c r="U37">
        <v>1</v>
      </c>
      <c r="W37" t="s">
        <v>6</v>
      </c>
      <c r="X37">
        <v>180</v>
      </c>
      <c r="Y37">
        <v>1</v>
      </c>
      <c r="AA37" t="s">
        <v>24</v>
      </c>
      <c r="AB37">
        <v>217</v>
      </c>
      <c r="AC37">
        <v>1</v>
      </c>
      <c r="AE37" t="s">
        <v>19</v>
      </c>
      <c r="AF37">
        <v>97</v>
      </c>
      <c r="AG37">
        <v>1</v>
      </c>
    </row>
    <row r="38" spans="11:33" x14ac:dyDescent="0.2">
      <c r="K38" t="s">
        <v>19</v>
      </c>
      <c r="L38">
        <v>340</v>
      </c>
      <c r="M38">
        <v>1</v>
      </c>
      <c r="O38" t="s">
        <v>21</v>
      </c>
      <c r="P38">
        <v>618</v>
      </c>
      <c r="Q38">
        <v>1</v>
      </c>
      <c r="S38" t="s">
        <v>19</v>
      </c>
      <c r="T38">
        <v>223</v>
      </c>
      <c r="U38">
        <v>1</v>
      </c>
      <c r="W38" t="s">
        <v>6</v>
      </c>
      <c r="X38">
        <v>72</v>
      </c>
      <c r="Y38">
        <v>1</v>
      </c>
      <c r="AA38" t="s">
        <v>24</v>
      </c>
      <c r="AB38">
        <v>365</v>
      </c>
      <c r="AC38">
        <v>1</v>
      </c>
      <c r="AE38" t="s">
        <v>19</v>
      </c>
      <c r="AF38">
        <v>79</v>
      </c>
      <c r="AG38">
        <v>1</v>
      </c>
    </row>
    <row r="39" spans="11:33" x14ac:dyDescent="0.2">
      <c r="K39" t="s">
        <v>19</v>
      </c>
      <c r="L39">
        <v>431</v>
      </c>
      <c r="M39">
        <v>1</v>
      </c>
      <c r="O39" t="s">
        <v>21</v>
      </c>
      <c r="P39">
        <v>641</v>
      </c>
      <c r="Q39">
        <v>1</v>
      </c>
      <c r="S39" t="s">
        <v>19</v>
      </c>
      <c r="T39">
        <v>33</v>
      </c>
      <c r="U39">
        <v>1</v>
      </c>
      <c r="W39" t="s">
        <v>6</v>
      </c>
      <c r="X39">
        <v>126</v>
      </c>
      <c r="Y39">
        <v>1</v>
      </c>
      <c r="AA39" t="s">
        <v>24</v>
      </c>
      <c r="AB39">
        <v>195</v>
      </c>
      <c r="AC39">
        <v>1</v>
      </c>
      <c r="AE39" t="s">
        <v>19</v>
      </c>
      <c r="AF39">
        <v>71</v>
      </c>
      <c r="AG39">
        <v>1</v>
      </c>
    </row>
    <row r="40" spans="11:33" x14ac:dyDescent="0.2">
      <c r="K40" t="s">
        <v>19</v>
      </c>
      <c r="L40">
        <v>397</v>
      </c>
      <c r="M40">
        <v>1</v>
      </c>
      <c r="O40" t="s">
        <v>21</v>
      </c>
      <c r="P40">
        <v>441</v>
      </c>
      <c r="Q40">
        <v>1</v>
      </c>
      <c r="S40" t="s">
        <v>19</v>
      </c>
      <c r="T40">
        <v>208</v>
      </c>
      <c r="U40">
        <v>1</v>
      </c>
      <c r="W40" t="s">
        <v>6</v>
      </c>
      <c r="X40">
        <v>63</v>
      </c>
      <c r="Y40">
        <v>1</v>
      </c>
      <c r="AA40" t="s">
        <v>24</v>
      </c>
      <c r="AB40">
        <v>527</v>
      </c>
      <c r="AC40">
        <v>1</v>
      </c>
      <c r="AE40" t="s">
        <v>19</v>
      </c>
      <c r="AF40">
        <v>9</v>
      </c>
      <c r="AG40">
        <v>1</v>
      </c>
    </row>
    <row r="41" spans="11:33" x14ac:dyDescent="0.2">
      <c r="K41" t="s">
        <v>19</v>
      </c>
      <c r="L41">
        <v>475</v>
      </c>
      <c r="M41">
        <v>1</v>
      </c>
      <c r="O41" t="s">
        <v>6</v>
      </c>
      <c r="P41">
        <v>35</v>
      </c>
      <c r="Q41">
        <v>1</v>
      </c>
      <c r="S41" t="s">
        <v>19</v>
      </c>
      <c r="T41">
        <v>1086</v>
      </c>
      <c r="U41">
        <v>1</v>
      </c>
      <c r="W41" t="s">
        <v>6</v>
      </c>
      <c r="X41">
        <v>942</v>
      </c>
      <c r="Y41">
        <v>1</v>
      </c>
      <c r="AA41" t="s">
        <v>6</v>
      </c>
      <c r="AB41">
        <v>369</v>
      </c>
      <c r="AC41">
        <v>1</v>
      </c>
      <c r="AE41" t="s">
        <v>19</v>
      </c>
      <c r="AF41">
        <v>36</v>
      </c>
      <c r="AG41">
        <v>1</v>
      </c>
    </row>
    <row r="42" spans="11:33" x14ac:dyDescent="0.2">
      <c r="K42" t="s">
        <v>19</v>
      </c>
      <c r="L42">
        <v>483</v>
      </c>
      <c r="M42">
        <v>1</v>
      </c>
      <c r="O42" t="s">
        <v>6</v>
      </c>
      <c r="P42">
        <v>14</v>
      </c>
      <c r="Q42">
        <v>1</v>
      </c>
      <c r="S42" t="s">
        <v>19</v>
      </c>
      <c r="T42">
        <v>621</v>
      </c>
      <c r="U42">
        <v>1</v>
      </c>
      <c r="W42" t="s">
        <v>6</v>
      </c>
      <c r="X42">
        <v>81</v>
      </c>
      <c r="Y42">
        <v>1</v>
      </c>
      <c r="AA42" t="s">
        <v>6</v>
      </c>
      <c r="AB42">
        <v>446</v>
      </c>
      <c r="AC42">
        <v>1</v>
      </c>
      <c r="AE42" t="s">
        <v>19</v>
      </c>
      <c r="AF42">
        <v>9</v>
      </c>
      <c r="AG42">
        <v>1</v>
      </c>
    </row>
    <row r="43" spans="11:33" x14ac:dyDescent="0.2">
      <c r="K43" t="s">
        <v>19</v>
      </c>
      <c r="L43">
        <v>235</v>
      </c>
      <c r="M43">
        <v>1</v>
      </c>
      <c r="O43" t="s">
        <v>6</v>
      </c>
      <c r="P43">
        <v>195</v>
      </c>
      <c r="Q43">
        <v>1</v>
      </c>
      <c r="S43" t="s">
        <v>19</v>
      </c>
      <c r="T43">
        <v>485</v>
      </c>
      <c r="U43">
        <v>1</v>
      </c>
      <c r="W43" t="s">
        <v>6</v>
      </c>
      <c r="X43">
        <v>491</v>
      </c>
      <c r="Y43">
        <v>1</v>
      </c>
      <c r="AA43" t="s">
        <v>6</v>
      </c>
      <c r="AB43">
        <v>180</v>
      </c>
      <c r="AC43">
        <v>1</v>
      </c>
      <c r="AE43" t="s">
        <v>29</v>
      </c>
      <c r="AF43">
        <v>66</v>
      </c>
      <c r="AG43">
        <v>1</v>
      </c>
    </row>
    <row r="44" spans="11:33" x14ac:dyDescent="0.2">
      <c r="K44" t="s">
        <v>19</v>
      </c>
      <c r="L44">
        <v>736</v>
      </c>
      <c r="M44">
        <v>1</v>
      </c>
      <c r="O44" t="s">
        <v>6</v>
      </c>
      <c r="P44">
        <v>251</v>
      </c>
      <c r="Q44">
        <v>1</v>
      </c>
      <c r="S44" t="s">
        <v>19</v>
      </c>
      <c r="T44">
        <v>800</v>
      </c>
      <c r="U44">
        <v>1</v>
      </c>
      <c r="W44" t="s">
        <v>6</v>
      </c>
      <c r="X44">
        <v>97</v>
      </c>
      <c r="Y44">
        <v>1</v>
      </c>
      <c r="AA44" t="s">
        <v>6</v>
      </c>
      <c r="AB44">
        <v>108</v>
      </c>
      <c r="AC44">
        <v>1</v>
      </c>
      <c r="AE44" t="s">
        <v>29</v>
      </c>
      <c r="AF44">
        <v>238</v>
      </c>
      <c r="AG44">
        <v>1</v>
      </c>
    </row>
    <row r="45" spans="11:33" x14ac:dyDescent="0.2">
      <c r="K45" t="s">
        <v>19</v>
      </c>
      <c r="L45">
        <v>181</v>
      </c>
      <c r="M45">
        <v>1</v>
      </c>
      <c r="O45" t="s">
        <v>6</v>
      </c>
      <c r="P45">
        <v>128</v>
      </c>
      <c r="Q45">
        <v>1</v>
      </c>
      <c r="S45" t="s">
        <v>19</v>
      </c>
      <c r="T45">
        <v>896</v>
      </c>
      <c r="U45">
        <v>1</v>
      </c>
      <c r="W45" t="s">
        <v>6</v>
      </c>
      <c r="X45">
        <v>90</v>
      </c>
      <c r="Y45">
        <v>1</v>
      </c>
      <c r="AA45" t="s">
        <v>6</v>
      </c>
      <c r="AB45">
        <v>155</v>
      </c>
      <c r="AC45">
        <v>1</v>
      </c>
      <c r="AE45" t="s">
        <v>29</v>
      </c>
      <c r="AF45">
        <v>224</v>
      </c>
      <c r="AG45">
        <v>1</v>
      </c>
    </row>
    <row r="46" spans="11:33" x14ac:dyDescent="0.2">
      <c r="K46" t="s">
        <v>18</v>
      </c>
      <c r="L46">
        <v>250</v>
      </c>
      <c r="M46">
        <v>1</v>
      </c>
      <c r="O46" t="s">
        <v>6</v>
      </c>
      <c r="P46">
        <v>19</v>
      </c>
      <c r="Q46">
        <v>1</v>
      </c>
      <c r="S46" t="s">
        <v>19</v>
      </c>
      <c r="T46">
        <v>312</v>
      </c>
      <c r="U46">
        <v>1</v>
      </c>
      <c r="W46" t="s">
        <v>6</v>
      </c>
      <c r="X46">
        <v>300</v>
      </c>
      <c r="Y46">
        <v>1</v>
      </c>
      <c r="AA46" t="s">
        <v>6</v>
      </c>
      <c r="AB46">
        <v>254</v>
      </c>
      <c r="AC46">
        <v>1</v>
      </c>
      <c r="AE46" t="s">
        <v>29</v>
      </c>
      <c r="AF46">
        <v>269</v>
      </c>
      <c r="AG46">
        <v>1</v>
      </c>
    </row>
    <row r="47" spans="11:33" x14ac:dyDescent="0.2">
      <c r="K47" t="s">
        <v>18</v>
      </c>
      <c r="L47">
        <v>137</v>
      </c>
      <c r="M47">
        <v>1</v>
      </c>
      <c r="O47" t="s">
        <v>6</v>
      </c>
      <c r="P47">
        <v>258</v>
      </c>
      <c r="Q47">
        <v>1</v>
      </c>
      <c r="S47" t="s">
        <v>19</v>
      </c>
      <c r="T47">
        <v>583</v>
      </c>
      <c r="U47">
        <v>1</v>
      </c>
      <c r="W47" t="s">
        <v>6</v>
      </c>
      <c r="X47">
        <v>108</v>
      </c>
      <c r="Y47">
        <v>1</v>
      </c>
      <c r="AA47" t="s">
        <v>6</v>
      </c>
      <c r="AB47">
        <v>300</v>
      </c>
      <c r="AC47">
        <v>1</v>
      </c>
      <c r="AE47" t="s">
        <v>29</v>
      </c>
      <c r="AF47">
        <v>616</v>
      </c>
      <c r="AG47">
        <v>1</v>
      </c>
    </row>
    <row r="48" spans="11:33" x14ac:dyDescent="0.2">
      <c r="K48" t="s">
        <v>18</v>
      </c>
      <c r="L48">
        <v>370</v>
      </c>
      <c r="M48">
        <v>1</v>
      </c>
      <c r="O48" t="s">
        <v>6</v>
      </c>
      <c r="P48">
        <v>53</v>
      </c>
      <c r="Q48">
        <v>1</v>
      </c>
      <c r="S48" t="s">
        <v>19</v>
      </c>
      <c r="T48">
        <v>745</v>
      </c>
      <c r="U48">
        <v>1</v>
      </c>
      <c r="W48" t="s">
        <v>6</v>
      </c>
      <c r="X48">
        <v>20</v>
      </c>
      <c r="Y48">
        <v>1</v>
      </c>
      <c r="AA48" t="s">
        <v>6</v>
      </c>
      <c r="AC48">
        <v>0</v>
      </c>
      <c r="AE48" t="s">
        <v>29</v>
      </c>
      <c r="AF48">
        <v>296</v>
      </c>
      <c r="AG48">
        <v>1</v>
      </c>
    </row>
    <row r="49" spans="11:33" x14ac:dyDescent="0.2">
      <c r="K49" t="s">
        <v>18</v>
      </c>
      <c r="L49">
        <v>302</v>
      </c>
      <c r="M49">
        <v>1</v>
      </c>
      <c r="O49" t="s">
        <v>6</v>
      </c>
      <c r="P49">
        <v>32</v>
      </c>
      <c r="Q49">
        <v>1</v>
      </c>
      <c r="S49" t="s">
        <v>19</v>
      </c>
      <c r="T49">
        <v>151</v>
      </c>
      <c r="U49">
        <v>1</v>
      </c>
      <c r="W49" t="s">
        <v>6</v>
      </c>
      <c r="X49">
        <v>188</v>
      </c>
      <c r="Y49">
        <v>1</v>
      </c>
      <c r="AA49" t="s">
        <v>6</v>
      </c>
      <c r="AB49">
        <v>169</v>
      </c>
      <c r="AC49">
        <v>1</v>
      </c>
      <c r="AE49" t="s">
        <v>29</v>
      </c>
      <c r="AF49">
        <v>54</v>
      </c>
      <c r="AG49">
        <v>1</v>
      </c>
    </row>
    <row r="50" spans="11:33" x14ac:dyDescent="0.2">
      <c r="K50" t="s">
        <v>18</v>
      </c>
      <c r="L50">
        <v>708</v>
      </c>
      <c r="M50">
        <v>1</v>
      </c>
      <c r="O50" t="s">
        <v>6</v>
      </c>
      <c r="P50">
        <v>119</v>
      </c>
      <c r="Q50">
        <v>1</v>
      </c>
      <c r="S50" t="s">
        <v>19</v>
      </c>
      <c r="T50">
        <v>66</v>
      </c>
      <c r="U50">
        <v>1</v>
      </c>
      <c r="W50" t="s">
        <v>6</v>
      </c>
      <c r="X50">
        <v>272</v>
      </c>
      <c r="Y50">
        <v>1</v>
      </c>
      <c r="AA50" t="s">
        <v>6</v>
      </c>
      <c r="AB50">
        <v>217</v>
      </c>
      <c r="AC50">
        <v>1</v>
      </c>
      <c r="AE50" t="s">
        <v>29</v>
      </c>
      <c r="AF50">
        <v>262</v>
      </c>
      <c r="AG50">
        <v>1</v>
      </c>
    </row>
    <row r="51" spans="11:33" x14ac:dyDescent="0.2">
      <c r="K51" t="s">
        <v>18</v>
      </c>
      <c r="L51">
        <v>482</v>
      </c>
      <c r="M51">
        <v>1</v>
      </c>
      <c r="O51" t="s">
        <v>6</v>
      </c>
      <c r="P51">
        <v>16</v>
      </c>
      <c r="Q51">
        <v>1</v>
      </c>
      <c r="S51" t="s">
        <v>19</v>
      </c>
      <c r="T51">
        <v>447</v>
      </c>
      <c r="U51">
        <v>1</v>
      </c>
      <c r="W51" t="s">
        <v>6</v>
      </c>
      <c r="X51">
        <v>199</v>
      </c>
      <c r="Y51">
        <v>1</v>
      </c>
      <c r="AA51" t="s">
        <v>6</v>
      </c>
      <c r="AB51">
        <v>436</v>
      </c>
      <c r="AC51">
        <v>1</v>
      </c>
      <c r="AE51" t="s">
        <v>29</v>
      </c>
      <c r="AF51">
        <v>149</v>
      </c>
      <c r="AG51">
        <v>1</v>
      </c>
    </row>
    <row r="52" spans="11:33" x14ac:dyDescent="0.2">
      <c r="K52" t="s">
        <v>18</v>
      </c>
      <c r="L52">
        <v>2508</v>
      </c>
      <c r="M52">
        <v>1</v>
      </c>
      <c r="O52" t="s">
        <v>6</v>
      </c>
      <c r="P52">
        <v>40</v>
      </c>
      <c r="Q52">
        <v>1</v>
      </c>
      <c r="S52" t="s">
        <v>19</v>
      </c>
      <c r="T52">
        <v>661</v>
      </c>
      <c r="U52">
        <v>1</v>
      </c>
      <c r="W52" t="s">
        <v>6</v>
      </c>
      <c r="X52">
        <v>317</v>
      </c>
      <c r="Y52">
        <v>1</v>
      </c>
      <c r="AA52" t="s">
        <v>6</v>
      </c>
      <c r="AB52">
        <v>512</v>
      </c>
      <c r="AC52">
        <v>1</v>
      </c>
      <c r="AE52" t="s">
        <v>29</v>
      </c>
      <c r="AF52">
        <v>49</v>
      </c>
      <c r="AG52">
        <v>1</v>
      </c>
    </row>
    <row r="53" spans="11:33" x14ac:dyDescent="0.2">
      <c r="K53" t="s">
        <v>18</v>
      </c>
      <c r="L53">
        <v>714</v>
      </c>
      <c r="M53">
        <v>1</v>
      </c>
      <c r="O53" t="s">
        <v>6</v>
      </c>
      <c r="P53">
        <v>42</v>
      </c>
      <c r="Q53">
        <v>1</v>
      </c>
      <c r="S53" t="s">
        <v>19</v>
      </c>
      <c r="T53">
        <v>428</v>
      </c>
      <c r="U53">
        <v>1</v>
      </c>
      <c r="W53" t="s">
        <v>6</v>
      </c>
      <c r="X53">
        <v>157</v>
      </c>
      <c r="Y53">
        <v>1</v>
      </c>
      <c r="AA53" t="s">
        <v>6</v>
      </c>
      <c r="AB53">
        <v>138</v>
      </c>
      <c r="AC53">
        <v>1</v>
      </c>
      <c r="AE53" t="s">
        <v>29</v>
      </c>
      <c r="AF53">
        <v>315</v>
      </c>
      <c r="AG53">
        <v>1</v>
      </c>
    </row>
    <row r="54" spans="11:33" x14ac:dyDescent="0.2">
      <c r="K54" t="s">
        <v>18</v>
      </c>
      <c r="L54">
        <v>388</v>
      </c>
      <c r="M54">
        <v>1</v>
      </c>
      <c r="O54" t="s">
        <v>6</v>
      </c>
      <c r="P54">
        <v>20</v>
      </c>
      <c r="Q54">
        <v>1</v>
      </c>
      <c r="S54" t="s">
        <v>19</v>
      </c>
      <c r="T54">
        <v>457</v>
      </c>
      <c r="U54">
        <v>1</v>
      </c>
      <c r="W54" t="s">
        <v>6</v>
      </c>
      <c r="X54">
        <v>188</v>
      </c>
      <c r="Y54">
        <v>1</v>
      </c>
      <c r="AA54" t="s">
        <v>6</v>
      </c>
      <c r="AB54">
        <v>133</v>
      </c>
      <c r="AC54">
        <v>1</v>
      </c>
      <c r="AE54" t="s">
        <v>29</v>
      </c>
      <c r="AF54">
        <v>76</v>
      </c>
      <c r="AG54">
        <v>1</v>
      </c>
    </row>
    <row r="55" spans="11:33" x14ac:dyDescent="0.2">
      <c r="K55" t="s">
        <v>18</v>
      </c>
      <c r="L55">
        <v>288</v>
      </c>
      <c r="M55">
        <v>1</v>
      </c>
      <c r="O55" t="s">
        <v>6</v>
      </c>
      <c r="P55">
        <v>172</v>
      </c>
      <c r="Q55">
        <v>1</v>
      </c>
      <c r="S55" t="s">
        <v>19</v>
      </c>
      <c r="T55">
        <v>113</v>
      </c>
      <c r="U55">
        <v>1</v>
      </c>
      <c r="AA55" t="s">
        <v>6</v>
      </c>
      <c r="AB55">
        <v>34</v>
      </c>
      <c r="AC55">
        <v>1</v>
      </c>
      <c r="AE55" t="s">
        <v>29</v>
      </c>
      <c r="AF55">
        <v>131</v>
      </c>
      <c r="AG55">
        <v>1</v>
      </c>
    </row>
    <row r="56" spans="11:33" x14ac:dyDescent="0.2">
      <c r="K56" t="s">
        <v>18</v>
      </c>
      <c r="L56">
        <v>791</v>
      </c>
      <c r="M56">
        <v>1</v>
      </c>
      <c r="O56" t="s">
        <v>6</v>
      </c>
      <c r="P56">
        <v>7</v>
      </c>
      <c r="Q56">
        <v>1</v>
      </c>
      <c r="S56" t="s">
        <v>19</v>
      </c>
      <c r="T56">
        <v>57</v>
      </c>
      <c r="U56">
        <v>1</v>
      </c>
      <c r="AA56" t="s">
        <v>6</v>
      </c>
      <c r="AB56">
        <v>89</v>
      </c>
      <c r="AC56">
        <v>1</v>
      </c>
      <c r="AE56" t="s">
        <v>29</v>
      </c>
      <c r="AF56">
        <v>2160</v>
      </c>
      <c r="AG56">
        <v>1</v>
      </c>
    </row>
    <row r="57" spans="11:33" x14ac:dyDescent="0.2">
      <c r="K57" t="s">
        <v>18</v>
      </c>
      <c r="L57">
        <v>348</v>
      </c>
      <c r="M57">
        <v>1</v>
      </c>
      <c r="O57" t="s">
        <v>6</v>
      </c>
      <c r="P57">
        <v>1288</v>
      </c>
      <c r="Q57">
        <v>1</v>
      </c>
      <c r="S57" t="s">
        <v>19</v>
      </c>
      <c r="T57">
        <v>230</v>
      </c>
      <c r="U57">
        <v>1</v>
      </c>
      <c r="AA57" t="s">
        <v>6</v>
      </c>
      <c r="AB57">
        <v>144</v>
      </c>
      <c r="AC57">
        <v>1</v>
      </c>
      <c r="AE57" t="s">
        <v>29</v>
      </c>
      <c r="AF57">
        <v>102</v>
      </c>
      <c r="AG57">
        <v>1</v>
      </c>
    </row>
    <row r="58" spans="11:33" x14ac:dyDescent="0.2">
      <c r="K58" t="s">
        <v>18</v>
      </c>
      <c r="L58">
        <v>147</v>
      </c>
      <c r="M58">
        <v>1</v>
      </c>
      <c r="O58" t="s">
        <v>6</v>
      </c>
      <c r="P58">
        <v>18</v>
      </c>
      <c r="Q58">
        <v>1</v>
      </c>
      <c r="S58" t="s">
        <v>19</v>
      </c>
      <c r="T58">
        <v>502</v>
      </c>
      <c r="U58">
        <v>1</v>
      </c>
      <c r="AA58" t="s">
        <v>6</v>
      </c>
      <c r="AB58">
        <v>236</v>
      </c>
      <c r="AC58">
        <v>1</v>
      </c>
      <c r="AE58" t="s">
        <v>29</v>
      </c>
      <c r="AG58">
        <v>0</v>
      </c>
    </row>
    <row r="59" spans="11:33" x14ac:dyDescent="0.2">
      <c r="K59" t="s">
        <v>18</v>
      </c>
      <c r="L59">
        <v>1174</v>
      </c>
      <c r="M59">
        <v>1</v>
      </c>
      <c r="O59" t="s">
        <v>6</v>
      </c>
      <c r="P59">
        <v>8</v>
      </c>
      <c r="Q59">
        <v>1</v>
      </c>
      <c r="S59" t="s">
        <v>19</v>
      </c>
      <c r="T59">
        <v>198</v>
      </c>
      <c r="U59">
        <v>1</v>
      </c>
      <c r="AA59" t="s">
        <v>6</v>
      </c>
      <c r="AB59">
        <v>334</v>
      </c>
      <c r="AC59">
        <v>1</v>
      </c>
      <c r="AE59" t="s">
        <v>29</v>
      </c>
      <c r="AF59">
        <v>127</v>
      </c>
      <c r="AG59">
        <v>1</v>
      </c>
    </row>
    <row r="60" spans="11:33" x14ac:dyDescent="0.2">
      <c r="K60" t="s">
        <v>18</v>
      </c>
      <c r="L60">
        <v>3026</v>
      </c>
      <c r="M60">
        <v>1</v>
      </c>
      <c r="O60" t="s">
        <v>6</v>
      </c>
      <c r="P60">
        <v>15</v>
      </c>
      <c r="Q60">
        <v>1</v>
      </c>
      <c r="S60" t="s">
        <v>19</v>
      </c>
      <c r="T60">
        <v>66</v>
      </c>
      <c r="U60">
        <v>1</v>
      </c>
      <c r="AE60" t="s">
        <v>29</v>
      </c>
      <c r="AF60">
        <v>1418</v>
      </c>
      <c r="AG60">
        <v>1</v>
      </c>
    </row>
    <row r="61" spans="11:33" x14ac:dyDescent="0.2">
      <c r="K61" t="s">
        <v>18</v>
      </c>
      <c r="L61">
        <v>416</v>
      </c>
      <c r="M61">
        <v>1</v>
      </c>
      <c r="S61" t="s">
        <v>19</v>
      </c>
      <c r="T61">
        <v>81</v>
      </c>
      <c r="U61">
        <v>1</v>
      </c>
      <c r="AE61" t="s">
        <v>29</v>
      </c>
      <c r="AF61">
        <v>58</v>
      </c>
      <c r="AG61">
        <v>1</v>
      </c>
    </row>
    <row r="62" spans="11:33" x14ac:dyDescent="0.2">
      <c r="K62" t="s">
        <v>18</v>
      </c>
      <c r="L62">
        <v>732</v>
      </c>
      <c r="M62">
        <v>1</v>
      </c>
      <c r="S62" t="s">
        <v>19</v>
      </c>
      <c r="T62">
        <v>256</v>
      </c>
      <c r="U62">
        <v>1</v>
      </c>
      <c r="AE62" t="s">
        <v>29</v>
      </c>
      <c r="AF62">
        <v>458</v>
      </c>
      <c r="AG62">
        <v>1</v>
      </c>
    </row>
    <row r="63" spans="11:33" x14ac:dyDescent="0.2">
      <c r="K63" t="s">
        <v>18</v>
      </c>
      <c r="L63">
        <v>88</v>
      </c>
      <c r="M63">
        <v>1</v>
      </c>
      <c r="S63" t="s">
        <v>19</v>
      </c>
      <c r="T63">
        <v>220</v>
      </c>
      <c r="U63">
        <v>1</v>
      </c>
      <c r="AE63" t="s">
        <v>29</v>
      </c>
      <c r="AF63">
        <v>15</v>
      </c>
      <c r="AG63">
        <v>1</v>
      </c>
    </row>
    <row r="64" spans="11:33" x14ac:dyDescent="0.2">
      <c r="K64" t="s">
        <v>18</v>
      </c>
      <c r="L64">
        <v>316</v>
      </c>
      <c r="M64">
        <v>1</v>
      </c>
      <c r="S64" t="s">
        <v>19</v>
      </c>
      <c r="T64">
        <v>291</v>
      </c>
      <c r="U64">
        <v>1</v>
      </c>
    </row>
    <row r="65" spans="11:21" x14ac:dyDescent="0.2">
      <c r="K65" t="s">
        <v>18</v>
      </c>
      <c r="L65">
        <v>899</v>
      </c>
      <c r="M65">
        <v>1</v>
      </c>
      <c r="S65" t="s">
        <v>6</v>
      </c>
      <c r="T65">
        <v>222</v>
      </c>
      <c r="U65">
        <v>1</v>
      </c>
    </row>
    <row r="66" spans="11:21" x14ac:dyDescent="0.2">
      <c r="S66" t="s">
        <v>6</v>
      </c>
      <c r="T66">
        <v>26</v>
      </c>
      <c r="U66">
        <v>1</v>
      </c>
    </row>
    <row r="67" spans="11:21" x14ac:dyDescent="0.2">
      <c r="S67" t="s">
        <v>6</v>
      </c>
      <c r="T67">
        <v>274</v>
      </c>
      <c r="U67">
        <v>1</v>
      </c>
    </row>
    <row r="68" spans="11:21" x14ac:dyDescent="0.2">
      <c r="S68" t="s">
        <v>6</v>
      </c>
      <c r="T68">
        <v>2389</v>
      </c>
      <c r="U68">
        <v>1</v>
      </c>
    </row>
    <row r="69" spans="11:21" x14ac:dyDescent="0.2">
      <c r="S69" t="s">
        <v>6</v>
      </c>
      <c r="T69">
        <v>241</v>
      </c>
      <c r="U69">
        <v>1</v>
      </c>
    </row>
    <row r="70" spans="11:21" x14ac:dyDescent="0.2">
      <c r="S70" t="s">
        <v>6</v>
      </c>
      <c r="T70">
        <v>347</v>
      </c>
      <c r="U70">
        <v>1</v>
      </c>
    </row>
    <row r="71" spans="11:21" x14ac:dyDescent="0.2">
      <c r="S71" t="s">
        <v>6</v>
      </c>
      <c r="T71">
        <v>511</v>
      </c>
      <c r="U71">
        <v>1</v>
      </c>
    </row>
    <row r="72" spans="11:21" x14ac:dyDescent="0.2">
      <c r="S72" t="s">
        <v>6</v>
      </c>
      <c r="T72">
        <v>45</v>
      </c>
      <c r="U72">
        <v>1</v>
      </c>
    </row>
    <row r="73" spans="11:21" x14ac:dyDescent="0.2">
      <c r="S73" t="s">
        <v>6</v>
      </c>
      <c r="T73">
        <v>197</v>
      </c>
      <c r="U73">
        <v>1</v>
      </c>
    </row>
    <row r="74" spans="11:21" x14ac:dyDescent="0.2">
      <c r="S74" t="s">
        <v>6</v>
      </c>
      <c r="T74">
        <v>318</v>
      </c>
      <c r="U74">
        <v>1</v>
      </c>
    </row>
    <row r="75" spans="11:21" x14ac:dyDescent="0.2">
      <c r="S75" t="s">
        <v>6</v>
      </c>
      <c r="T75">
        <v>254</v>
      </c>
      <c r="U75">
        <v>1</v>
      </c>
    </row>
    <row r="76" spans="11:21" x14ac:dyDescent="0.2">
      <c r="S76" t="s">
        <v>6</v>
      </c>
      <c r="T76">
        <v>195</v>
      </c>
      <c r="U76">
        <v>1</v>
      </c>
    </row>
    <row r="77" spans="11:21" x14ac:dyDescent="0.2">
      <c r="S77" t="s">
        <v>6</v>
      </c>
      <c r="T77">
        <v>101</v>
      </c>
      <c r="U77">
        <v>1</v>
      </c>
    </row>
    <row r="78" spans="11:21" x14ac:dyDescent="0.2">
      <c r="S78" t="s">
        <v>6</v>
      </c>
      <c r="T78">
        <v>672</v>
      </c>
      <c r="U78">
        <v>1</v>
      </c>
    </row>
    <row r="79" spans="11:21" x14ac:dyDescent="0.2">
      <c r="S79" t="s">
        <v>6</v>
      </c>
      <c r="T79">
        <v>668</v>
      </c>
      <c r="U79">
        <v>1</v>
      </c>
    </row>
    <row r="80" spans="11:21" x14ac:dyDescent="0.2">
      <c r="S80" t="s">
        <v>6</v>
      </c>
      <c r="T80">
        <v>912</v>
      </c>
      <c r="U80">
        <v>1</v>
      </c>
    </row>
    <row r="81" spans="19:21" x14ac:dyDescent="0.2">
      <c r="S81" t="s">
        <v>6</v>
      </c>
      <c r="T81">
        <v>363</v>
      </c>
      <c r="U81">
        <v>1</v>
      </c>
    </row>
    <row r="82" spans="19:21" x14ac:dyDescent="0.2">
      <c r="S82" t="s">
        <v>6</v>
      </c>
      <c r="T82">
        <v>4</v>
      </c>
      <c r="U82">
        <v>1</v>
      </c>
    </row>
    <row r="83" spans="19:21" x14ac:dyDescent="0.2">
      <c r="S83" t="s">
        <v>6</v>
      </c>
      <c r="T83">
        <v>147</v>
      </c>
      <c r="U83">
        <v>1</v>
      </c>
    </row>
    <row r="84" spans="19:21" x14ac:dyDescent="0.2">
      <c r="S84" t="s">
        <v>6</v>
      </c>
      <c r="T84">
        <v>238</v>
      </c>
      <c r="U84">
        <v>1</v>
      </c>
    </row>
    <row r="85" spans="19:21" x14ac:dyDescent="0.2">
      <c r="S85" t="s">
        <v>6</v>
      </c>
      <c r="T85">
        <v>303</v>
      </c>
      <c r="U85">
        <v>1</v>
      </c>
    </row>
    <row r="86" spans="19:21" x14ac:dyDescent="0.2">
      <c r="S86" t="s">
        <v>6</v>
      </c>
      <c r="T86">
        <v>206</v>
      </c>
      <c r="U86">
        <v>1</v>
      </c>
    </row>
    <row r="87" spans="19:21" x14ac:dyDescent="0.2">
      <c r="S87" t="s">
        <v>6</v>
      </c>
      <c r="T87">
        <v>416</v>
      </c>
      <c r="U87">
        <v>1</v>
      </c>
    </row>
    <row r="88" spans="19:21" x14ac:dyDescent="0.2">
      <c r="S88" t="s">
        <v>6</v>
      </c>
      <c r="T88">
        <v>75</v>
      </c>
      <c r="U88">
        <v>1</v>
      </c>
    </row>
    <row r="89" spans="19:21" x14ac:dyDescent="0.2">
      <c r="S89" t="s">
        <v>6</v>
      </c>
      <c r="T89">
        <v>80</v>
      </c>
      <c r="U89">
        <v>1</v>
      </c>
    </row>
    <row r="90" spans="19:21" x14ac:dyDescent="0.2">
      <c r="S90" t="s">
        <v>6</v>
      </c>
      <c r="T90">
        <v>164</v>
      </c>
      <c r="U90">
        <v>1</v>
      </c>
    </row>
    <row r="91" spans="19:21" x14ac:dyDescent="0.2">
      <c r="S91" t="s">
        <v>6</v>
      </c>
      <c r="T91">
        <v>50</v>
      </c>
      <c r="U91">
        <v>1</v>
      </c>
    </row>
    <row r="92" spans="19:21" x14ac:dyDescent="0.2">
      <c r="S92" t="s">
        <v>6</v>
      </c>
      <c r="T92">
        <v>205</v>
      </c>
      <c r="U92">
        <v>1</v>
      </c>
    </row>
    <row r="93" spans="19:21" x14ac:dyDescent="0.2">
      <c r="S93" t="s">
        <v>6</v>
      </c>
      <c r="T93">
        <v>81</v>
      </c>
      <c r="U93">
        <v>1</v>
      </c>
    </row>
    <row r="94" spans="19:21" x14ac:dyDescent="0.2">
      <c r="S94" t="s">
        <v>6</v>
      </c>
      <c r="T94">
        <v>125</v>
      </c>
      <c r="U94">
        <v>1</v>
      </c>
    </row>
    <row r="95" spans="19:21" x14ac:dyDescent="0.2">
      <c r="S95" t="s">
        <v>6</v>
      </c>
      <c r="T95">
        <v>286</v>
      </c>
      <c r="U95">
        <v>1</v>
      </c>
    </row>
  </sheetData>
  <mergeCells count="1">
    <mergeCell ref="B5:I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91F10-A08C-AA40-8A54-E8052F6A94A9}">
  <dimension ref="A1:T58"/>
  <sheetViews>
    <sheetView topLeftCell="F1" workbookViewId="0">
      <selection activeCell="I15" sqref="I15"/>
    </sheetView>
  </sheetViews>
  <sheetFormatPr baseColWidth="10" defaultRowHeight="16" x14ac:dyDescent="0.2"/>
  <cols>
    <col min="6" max="6" width="17.33203125" customWidth="1"/>
    <col min="7" max="7" width="18.33203125" customWidth="1"/>
    <col min="8" max="8" width="14.6640625" customWidth="1"/>
    <col min="10" max="10" width="21.33203125" customWidth="1"/>
    <col min="11" max="11" width="33.33203125" customWidth="1"/>
    <col min="14" max="14" width="16.33203125" customWidth="1"/>
    <col min="15" max="15" width="22" customWidth="1"/>
    <col min="16" max="16" width="14.6640625" customWidth="1"/>
    <col min="18" max="18" width="24" customWidth="1"/>
    <col min="19" max="19" width="30.33203125" customWidth="1"/>
    <col min="20" max="20" width="13.6640625" customWidth="1"/>
  </cols>
  <sheetData>
    <row r="1" spans="1:20" x14ac:dyDescent="0.2">
      <c r="F1" t="s">
        <v>38</v>
      </c>
      <c r="G1" t="s">
        <v>42</v>
      </c>
      <c r="H1" t="s">
        <v>37</v>
      </c>
      <c r="J1" t="s">
        <v>35</v>
      </c>
      <c r="K1" t="s">
        <v>40</v>
      </c>
      <c r="L1" t="s">
        <v>41</v>
      </c>
      <c r="N1" t="s">
        <v>38</v>
      </c>
      <c r="O1" t="s">
        <v>39</v>
      </c>
      <c r="P1" t="s">
        <v>37</v>
      </c>
      <c r="R1" t="s">
        <v>35</v>
      </c>
      <c r="S1" t="s">
        <v>36</v>
      </c>
      <c r="T1" t="s">
        <v>37</v>
      </c>
    </row>
    <row r="2" spans="1:20" x14ac:dyDescent="0.2">
      <c r="F2">
        <v>28.787878787878789</v>
      </c>
      <c r="G2">
        <v>77.272727272727266</v>
      </c>
      <c r="H2" t="s">
        <v>33</v>
      </c>
      <c r="J2">
        <f>173.97/600</f>
        <v>0.28994999999999999</v>
      </c>
      <c r="K2">
        <f>400.963/600</f>
        <v>0.66827166666666671</v>
      </c>
      <c r="L2" t="s">
        <v>31</v>
      </c>
      <c r="N2">
        <v>65.957446808510639</v>
      </c>
      <c r="O2">
        <v>82.446808510638306</v>
      </c>
      <c r="P2" t="s">
        <v>31</v>
      </c>
      <c r="R2">
        <v>41.296296296296298</v>
      </c>
      <c r="S2">
        <v>50.925925925925931</v>
      </c>
      <c r="T2" t="s">
        <v>31</v>
      </c>
    </row>
    <row r="3" spans="1:20" x14ac:dyDescent="0.2">
      <c r="F3">
        <v>18.181818181818183</v>
      </c>
      <c r="G3">
        <v>54.54545454545454</v>
      </c>
      <c r="H3" t="s">
        <v>31</v>
      </c>
      <c r="J3">
        <f>171.029/600</f>
        <v>0.28504833333333335</v>
      </c>
      <c r="K3">
        <f>383.831/600</f>
        <v>0.63971833333333339</v>
      </c>
      <c r="L3" t="s">
        <v>33</v>
      </c>
      <c r="N3">
        <v>61.734693877551017</v>
      </c>
      <c r="O3">
        <v>53.571428571428569</v>
      </c>
      <c r="P3" t="s">
        <v>31</v>
      </c>
      <c r="R3">
        <v>34.539473684210527</v>
      </c>
      <c r="S3">
        <v>42.434210526315788</v>
      </c>
      <c r="T3" t="s">
        <v>31</v>
      </c>
    </row>
    <row r="4" spans="1:20" x14ac:dyDescent="0.2">
      <c r="F4">
        <v>38.805970149253731</v>
      </c>
      <c r="G4">
        <v>67.164179104477611</v>
      </c>
      <c r="H4" t="s">
        <v>33</v>
      </c>
      <c r="J4">
        <f>83.234/340.9</f>
        <v>0.24415957758873569</v>
      </c>
      <c r="K4">
        <f>184.389/340.9</f>
        <v>0.54088882370196545</v>
      </c>
      <c r="L4" t="s">
        <v>33</v>
      </c>
      <c r="N4">
        <v>79.623287671232873</v>
      </c>
      <c r="O4">
        <v>71.061643835616437</v>
      </c>
      <c r="P4" t="s">
        <v>31</v>
      </c>
      <c r="R4">
        <v>13.5</v>
      </c>
      <c r="S4">
        <v>61.666666666666671</v>
      </c>
      <c r="T4" t="s">
        <v>33</v>
      </c>
    </row>
    <row r="5" spans="1:20" x14ac:dyDescent="0.2">
      <c r="F5">
        <v>77.666666666666657</v>
      </c>
      <c r="G5">
        <v>37.333333333333336</v>
      </c>
      <c r="J5">
        <f>138.066/487</f>
        <v>0.28350308008213554</v>
      </c>
      <c r="K5">
        <f>279.943/487</f>
        <v>0.57483162217659134</v>
      </c>
      <c r="L5" t="s">
        <v>33</v>
      </c>
      <c r="N5">
        <v>78.160919540229884</v>
      </c>
      <c r="O5">
        <v>39.080459770114942</v>
      </c>
      <c r="P5" t="s">
        <v>31</v>
      </c>
      <c r="R5">
        <v>35.793357933579337</v>
      </c>
      <c r="S5">
        <v>57.933579335793361</v>
      </c>
      <c r="T5" t="s">
        <v>31</v>
      </c>
    </row>
    <row r="6" spans="1:20" x14ac:dyDescent="0.2">
      <c r="F6">
        <v>100</v>
      </c>
      <c r="G6">
        <v>0</v>
      </c>
      <c r="H6" t="s">
        <v>31</v>
      </c>
      <c r="J6">
        <f>309.823/600</f>
        <v>0.51637166666666667</v>
      </c>
      <c r="K6">
        <f>53.455/300</f>
        <v>0.17818333333333333</v>
      </c>
      <c r="L6" t="s">
        <v>31</v>
      </c>
      <c r="N6">
        <v>10.679611650485436</v>
      </c>
      <c r="O6">
        <v>99.038461538461547</v>
      </c>
      <c r="P6" t="s">
        <v>31</v>
      </c>
      <c r="R6">
        <v>61.752136752136757</v>
      </c>
      <c r="S6">
        <v>34.401709401709404</v>
      </c>
      <c r="T6" t="s">
        <v>31</v>
      </c>
    </row>
    <row r="7" spans="1:20" x14ac:dyDescent="0.2">
      <c r="F7">
        <v>4.4444444444444446</v>
      </c>
      <c r="G7">
        <v>65.555555555555557</v>
      </c>
      <c r="H7" t="s">
        <v>33</v>
      </c>
      <c r="J7">
        <f>104.501/600</f>
        <v>0.17416833333333334</v>
      </c>
      <c r="K7">
        <f>338.404/600</f>
        <v>0.56400666666666666</v>
      </c>
      <c r="L7" t="s">
        <v>33</v>
      </c>
      <c r="N7">
        <v>72.905027932960891</v>
      </c>
      <c r="O7">
        <v>55.865921787709496</v>
      </c>
      <c r="P7" t="s">
        <v>31</v>
      </c>
      <c r="R7">
        <v>36.86274509803922</v>
      </c>
      <c r="S7">
        <v>29.803921568627452</v>
      </c>
      <c r="T7" t="s">
        <v>31</v>
      </c>
    </row>
    <row r="8" spans="1:20" x14ac:dyDescent="0.2">
      <c r="F8">
        <v>52.830188679245282</v>
      </c>
      <c r="G8">
        <v>81.341719077568129</v>
      </c>
      <c r="H8" t="s">
        <v>33</v>
      </c>
      <c r="J8">
        <f>222.17/600</f>
        <v>0.3702833333333333</v>
      </c>
      <c r="K8">
        <f>119.296/600</f>
        <v>0.19882666666666668</v>
      </c>
      <c r="L8" t="s">
        <v>33</v>
      </c>
      <c r="N8">
        <v>81.212121212121218</v>
      </c>
      <c r="O8">
        <v>76.666666666666671</v>
      </c>
      <c r="P8" t="s">
        <v>33</v>
      </c>
      <c r="R8">
        <v>71.084337349397586</v>
      </c>
      <c r="S8">
        <v>20.481927710843372</v>
      </c>
      <c r="T8" t="s">
        <v>31</v>
      </c>
    </row>
    <row r="9" spans="1:20" x14ac:dyDescent="0.2">
      <c r="F9">
        <v>69.620253164556971</v>
      </c>
      <c r="G9">
        <v>76.582278481012651</v>
      </c>
      <c r="H9" t="s">
        <v>33</v>
      </c>
      <c r="J9">
        <f>401.42/600</f>
        <v>0.66903333333333337</v>
      </c>
      <c r="K9">
        <f>70.619/600</f>
        <v>0.11769833333333334</v>
      </c>
      <c r="L9" t="s">
        <v>31</v>
      </c>
      <c r="N9">
        <v>45.2</v>
      </c>
      <c r="O9">
        <v>2.6</v>
      </c>
      <c r="P9" t="s">
        <v>31</v>
      </c>
      <c r="R9">
        <v>41.907514450867048</v>
      </c>
      <c r="S9">
        <v>40.751445086705203</v>
      </c>
      <c r="T9" t="s">
        <v>31</v>
      </c>
    </row>
    <row r="10" spans="1:20" x14ac:dyDescent="0.2">
      <c r="F10">
        <v>60.294117647058819</v>
      </c>
      <c r="G10">
        <v>53.67647058823529</v>
      </c>
      <c r="H10" t="s">
        <v>33</v>
      </c>
      <c r="J10">
        <f>138.197/398.304</f>
        <v>0.34696362577327872</v>
      </c>
      <c r="K10">
        <f>213.45/398.304</f>
        <v>0.53589720414557729</v>
      </c>
      <c r="L10" t="s">
        <v>33</v>
      </c>
      <c r="N10">
        <v>49.333333333333336</v>
      </c>
      <c r="O10">
        <v>61.833333333333329</v>
      </c>
      <c r="P10" t="s">
        <v>33</v>
      </c>
      <c r="R10">
        <v>4.3478260869565215</v>
      </c>
      <c r="S10">
        <v>76.08695652173914</v>
      </c>
      <c r="T10" t="s">
        <v>33</v>
      </c>
    </row>
    <row r="11" spans="1:20" x14ac:dyDescent="0.2">
      <c r="A11" t="s">
        <v>30</v>
      </c>
      <c r="F11">
        <v>0</v>
      </c>
      <c r="G11">
        <v>100</v>
      </c>
      <c r="H11" t="s">
        <v>33</v>
      </c>
      <c r="J11">
        <f>99.265/600</f>
        <v>0.16544166666666668</v>
      </c>
      <c r="K11">
        <f>372.266/600</f>
        <v>0.62044333333333335</v>
      </c>
      <c r="L11" t="s">
        <v>33</v>
      </c>
      <c r="N11">
        <v>84.274193548387103</v>
      </c>
      <c r="O11">
        <v>58.064516129032263</v>
      </c>
      <c r="P11" t="s">
        <v>31</v>
      </c>
      <c r="R11">
        <v>6.5</v>
      </c>
      <c r="S11">
        <v>5.166666666666667</v>
      </c>
      <c r="T11" t="s">
        <v>33</v>
      </c>
    </row>
    <row r="12" spans="1:20" x14ac:dyDescent="0.2">
      <c r="A12" t="s">
        <v>31</v>
      </c>
      <c r="B12" t="s">
        <v>32</v>
      </c>
      <c r="F12">
        <v>0</v>
      </c>
      <c r="G12">
        <v>100</v>
      </c>
      <c r="H12" t="s">
        <v>33</v>
      </c>
      <c r="J12">
        <f>232.83/487</f>
        <v>0.47809034907597536</v>
      </c>
      <c r="K12">
        <f>156.935/487</f>
        <v>0.32224845995893225</v>
      </c>
      <c r="L12" t="s">
        <v>33</v>
      </c>
      <c r="N12">
        <v>99.646643109540634</v>
      </c>
      <c r="O12">
        <v>27.561837455830389</v>
      </c>
      <c r="P12" t="s">
        <v>31</v>
      </c>
      <c r="R12">
        <v>56.502242152466366</v>
      </c>
      <c r="S12">
        <v>22.6457399103139</v>
      </c>
      <c r="T12" t="s">
        <v>33</v>
      </c>
    </row>
    <row r="13" spans="1:20" x14ac:dyDescent="0.2">
      <c r="A13" t="s">
        <v>33</v>
      </c>
      <c r="B13" t="s">
        <v>34</v>
      </c>
      <c r="F13">
        <v>0</v>
      </c>
      <c r="G13">
        <v>83.870967741935488</v>
      </c>
      <c r="H13" t="s">
        <v>33</v>
      </c>
      <c r="J13">
        <f>147.097/409.879</f>
        <v>0.35887908382717826</v>
      </c>
      <c r="K13">
        <f>172.852/409.879</f>
        <v>0.42171470116790566</v>
      </c>
      <c r="L13" t="s">
        <v>33</v>
      </c>
      <c r="N13">
        <v>74.939759036144579</v>
      </c>
      <c r="O13">
        <v>81.445783132530124</v>
      </c>
      <c r="P13" t="s">
        <v>33</v>
      </c>
      <c r="R13">
        <v>30.597014925373134</v>
      </c>
      <c r="S13">
        <v>54.104477611940297</v>
      </c>
      <c r="T13" t="s">
        <v>33</v>
      </c>
    </row>
    <row r="14" spans="1:20" x14ac:dyDescent="0.2">
      <c r="F14">
        <v>0</v>
      </c>
      <c r="G14">
        <v>100</v>
      </c>
      <c r="H14" t="s">
        <v>33</v>
      </c>
      <c r="J14">
        <f>64.6/600</f>
        <v>0.10766666666666666</v>
      </c>
      <c r="K14">
        <f>425.416/600</f>
        <v>0.70902666666666669</v>
      </c>
      <c r="L14" t="s">
        <v>31</v>
      </c>
      <c r="N14">
        <v>65.333333333333329</v>
      </c>
      <c r="O14">
        <v>48.333333333333336</v>
      </c>
      <c r="P14" t="s">
        <v>33</v>
      </c>
      <c r="R14">
        <v>30.289532293986639</v>
      </c>
      <c r="S14">
        <v>61.469933184855229</v>
      </c>
      <c r="T14" t="s">
        <v>33</v>
      </c>
    </row>
    <row r="15" spans="1:20" x14ac:dyDescent="0.2">
      <c r="F15">
        <v>66.400000000000006</v>
      </c>
      <c r="G15">
        <v>62</v>
      </c>
      <c r="H15" t="s">
        <v>33</v>
      </c>
      <c r="J15">
        <f>121.704/600</f>
        <v>0.20283999999999999</v>
      </c>
      <c r="K15">
        <f>278.484/600</f>
        <v>0.46413999999999994</v>
      </c>
      <c r="L15" t="s">
        <v>31</v>
      </c>
      <c r="N15">
        <v>75.838926174496649</v>
      </c>
      <c r="O15">
        <v>83.892617449664428</v>
      </c>
      <c r="P15" t="s">
        <v>31</v>
      </c>
      <c r="R15">
        <v>15.666666666666668</v>
      </c>
      <c r="S15">
        <v>40.5</v>
      </c>
      <c r="T15" t="s">
        <v>33</v>
      </c>
    </row>
    <row r="16" spans="1:20" x14ac:dyDescent="0.2">
      <c r="F16">
        <v>18.831168831168831</v>
      </c>
      <c r="G16">
        <v>69.480519480519476</v>
      </c>
      <c r="H16" t="s">
        <v>33</v>
      </c>
      <c r="J16">
        <f>329.215/600</f>
        <v>0.54869166666666658</v>
      </c>
      <c r="K16">
        <f>203.541/600</f>
        <v>0.33923500000000001</v>
      </c>
      <c r="L16" t="s">
        <v>31</v>
      </c>
      <c r="N16">
        <v>85.714285714285708</v>
      </c>
      <c r="O16">
        <v>71.428571428571431</v>
      </c>
      <c r="P16" t="s">
        <v>31</v>
      </c>
      <c r="R16">
        <v>32.732732732732735</v>
      </c>
      <c r="S16">
        <v>46.546546546546544</v>
      </c>
      <c r="T16" t="s">
        <v>33</v>
      </c>
    </row>
    <row r="17" spans="6:20" x14ac:dyDescent="0.2">
      <c r="F17">
        <v>66.833333333333329</v>
      </c>
      <c r="G17">
        <v>56.666666666666664</v>
      </c>
      <c r="H17" t="s">
        <v>31</v>
      </c>
      <c r="J17">
        <f>292.071/532.883</f>
        <v>0.54809592349540148</v>
      </c>
      <c r="K17">
        <f>225.141/552.833</f>
        <v>0.40724956722916322</v>
      </c>
      <c r="L17" t="s">
        <v>33</v>
      </c>
      <c r="N17">
        <v>81.707317073170728</v>
      </c>
      <c r="O17">
        <v>79.268292682926827</v>
      </c>
      <c r="P17" t="s">
        <v>33</v>
      </c>
      <c r="R17">
        <v>47.666666666666671</v>
      </c>
      <c r="S17">
        <v>42.166666666666671</v>
      </c>
      <c r="T17" t="s">
        <v>33</v>
      </c>
    </row>
    <row r="18" spans="6:20" x14ac:dyDescent="0.2">
      <c r="F18">
        <v>26.166666666666664</v>
      </c>
      <c r="G18">
        <v>46.166666666666664</v>
      </c>
      <c r="H18" t="s">
        <v>33</v>
      </c>
      <c r="J18">
        <f>73.954/600</f>
        <v>0.12325666666666665</v>
      </c>
      <c r="K18">
        <f>476.251/600</f>
        <v>0.79375166666666663</v>
      </c>
      <c r="L18" t="s">
        <v>31</v>
      </c>
      <c r="N18">
        <v>60.840707964601769</v>
      </c>
      <c r="O18">
        <v>59.955752212389378</v>
      </c>
      <c r="P18" t="s">
        <v>33</v>
      </c>
      <c r="R18">
        <v>59.854014598540154</v>
      </c>
      <c r="S18">
        <v>38.686131386861319</v>
      </c>
      <c r="T18" t="s">
        <v>33</v>
      </c>
    </row>
    <row r="19" spans="6:20" x14ac:dyDescent="0.2">
      <c r="F19">
        <v>12.5</v>
      </c>
      <c r="G19">
        <v>37.5</v>
      </c>
      <c r="H19" t="s">
        <v>33</v>
      </c>
      <c r="J19">
        <f>265.321/575.881</f>
        <v>0.46072191997999595</v>
      </c>
      <c r="K19">
        <f>233.613/575.881</f>
        <v>0.405661933628649</v>
      </c>
      <c r="L19" t="s">
        <v>31</v>
      </c>
      <c r="N19">
        <v>99.333333333333329</v>
      </c>
      <c r="O19">
        <v>56.000000000000007</v>
      </c>
      <c r="P19" t="s">
        <v>33</v>
      </c>
      <c r="R19">
        <v>42.671009771986974</v>
      </c>
      <c r="S19">
        <v>34.527687296416936</v>
      </c>
      <c r="T19" t="s">
        <v>33</v>
      </c>
    </row>
    <row r="20" spans="6:20" x14ac:dyDescent="0.2">
      <c r="F20">
        <v>0</v>
      </c>
      <c r="G20">
        <v>79.090909090909093</v>
      </c>
      <c r="H20" t="s">
        <v>33</v>
      </c>
      <c r="J20">
        <f>280.944/600</f>
        <v>0.46824000000000005</v>
      </c>
      <c r="K20">
        <f>128.305/600</f>
        <v>0.21384166666666668</v>
      </c>
      <c r="L20" t="s">
        <v>33</v>
      </c>
      <c r="N20">
        <v>70.725388601036272</v>
      </c>
      <c r="O20">
        <v>81.865284974093271</v>
      </c>
      <c r="P20" t="s">
        <v>33</v>
      </c>
      <c r="R20">
        <v>22</v>
      </c>
      <c r="S20">
        <v>58.833333333333336</v>
      </c>
      <c r="T20" t="s">
        <v>33</v>
      </c>
    </row>
    <row r="21" spans="6:20" x14ac:dyDescent="0.2">
      <c r="F21">
        <v>51.302083333333336</v>
      </c>
      <c r="G21">
        <v>78.125</v>
      </c>
      <c r="H21" t="s">
        <v>31</v>
      </c>
      <c r="J21">
        <f>250.116/587.486</f>
        <v>0.42573950698399626</v>
      </c>
      <c r="K21">
        <f>245.468/587.486</f>
        <v>0.41782782908869315</v>
      </c>
      <c r="L21" t="s">
        <v>33</v>
      </c>
      <c r="N21">
        <v>100</v>
      </c>
      <c r="O21">
        <v>0</v>
      </c>
      <c r="P21" t="s">
        <v>31</v>
      </c>
      <c r="R21">
        <v>64.968152866242036</v>
      </c>
      <c r="S21">
        <v>32.484076433121018</v>
      </c>
      <c r="T21" t="s">
        <v>31</v>
      </c>
    </row>
    <row r="22" spans="6:20" x14ac:dyDescent="0.2">
      <c r="F22">
        <v>56.72268907563025</v>
      </c>
      <c r="G22">
        <v>89.495798319327733</v>
      </c>
      <c r="H22" t="s">
        <v>31</v>
      </c>
      <c r="J22">
        <f>148.911/600</f>
        <v>0.24818499999999999</v>
      </c>
      <c r="K22">
        <f>368.403/600</f>
        <v>0.61400500000000002</v>
      </c>
      <c r="L22" t="s">
        <v>33</v>
      </c>
      <c r="N22">
        <v>93.61702127659575</v>
      </c>
      <c r="O22">
        <v>78.723404255319153</v>
      </c>
      <c r="P22" t="s">
        <v>31</v>
      </c>
      <c r="R22">
        <v>58.55670103092784</v>
      </c>
      <c r="S22">
        <v>30.103092783505154</v>
      </c>
      <c r="T22" t="s">
        <v>31</v>
      </c>
    </row>
    <row r="23" spans="6:20" x14ac:dyDescent="0.2">
      <c r="F23">
        <v>45.57823129251701</v>
      </c>
      <c r="G23">
        <v>66.666666666666657</v>
      </c>
      <c r="H23" t="s">
        <v>33</v>
      </c>
      <c r="J23">
        <f>87.352/600</f>
        <v>0.14558666666666667</v>
      </c>
      <c r="K23">
        <f>442.254/600</f>
        <v>0.73709000000000002</v>
      </c>
      <c r="L23" t="s">
        <v>33</v>
      </c>
      <c r="N23">
        <v>67.61904761904762</v>
      </c>
      <c r="O23">
        <v>63.809523809523803</v>
      </c>
      <c r="P23" t="s">
        <v>31</v>
      </c>
      <c r="R23">
        <v>51.68539325842697</v>
      </c>
      <c r="S23">
        <v>31.460674157303369</v>
      </c>
      <c r="T23" t="s">
        <v>31</v>
      </c>
    </row>
    <row r="24" spans="6:20" x14ac:dyDescent="0.2">
      <c r="F24">
        <v>63.666670000000003</v>
      </c>
      <c r="G24">
        <v>66.666669999999996</v>
      </c>
      <c r="H24" t="s">
        <v>33</v>
      </c>
      <c r="J24">
        <f>317.926/600</f>
        <v>0.52987666666666666</v>
      </c>
      <c r="K24">
        <f>177.822/600</f>
        <v>0.29637000000000002</v>
      </c>
      <c r="L24" t="s">
        <v>31</v>
      </c>
      <c r="N24">
        <v>64.670658682634723</v>
      </c>
      <c r="O24">
        <v>80.838323353293418</v>
      </c>
      <c r="P24" t="s">
        <v>31</v>
      </c>
      <c r="R24">
        <v>0</v>
      </c>
      <c r="S24">
        <v>93.7007874015748</v>
      </c>
      <c r="T24" t="s">
        <v>33</v>
      </c>
    </row>
    <row r="25" spans="6:20" x14ac:dyDescent="0.2">
      <c r="F25">
        <v>66.666666666666657</v>
      </c>
      <c r="G25">
        <v>69.599999999999994</v>
      </c>
      <c r="H25" t="s">
        <v>31</v>
      </c>
      <c r="J25">
        <f>84.197/600</f>
        <v>0.14032833333333333</v>
      </c>
      <c r="K25">
        <f>468.23/600</f>
        <v>0.78038333333333332</v>
      </c>
      <c r="L25" t="s">
        <v>31</v>
      </c>
      <c r="N25">
        <v>75.813953488372093</v>
      </c>
      <c r="O25">
        <v>44.651162790697676</v>
      </c>
      <c r="P25" t="s">
        <v>31</v>
      </c>
      <c r="R25">
        <v>0</v>
      </c>
      <c r="S25">
        <v>100</v>
      </c>
      <c r="T25" t="s">
        <v>33</v>
      </c>
    </row>
    <row r="26" spans="6:20" x14ac:dyDescent="0.2">
      <c r="F26">
        <v>54.222222222222229</v>
      </c>
      <c r="G26">
        <v>80</v>
      </c>
      <c r="H26" t="s">
        <v>31</v>
      </c>
      <c r="J26">
        <f>174.297/377.517</f>
        <v>0.46169311580670541</v>
      </c>
      <c r="K26">
        <f>183.345/377.517</f>
        <v>0.48566024841265426</v>
      </c>
      <c r="L26" t="s">
        <v>31</v>
      </c>
      <c r="N26">
        <v>8.7179487179487172</v>
      </c>
      <c r="O26">
        <v>70.769230769230774</v>
      </c>
      <c r="P26" t="s">
        <v>33</v>
      </c>
      <c r="R26">
        <v>34.877384196185282</v>
      </c>
      <c r="S26">
        <v>36.239782016348776</v>
      </c>
      <c r="T26" t="s">
        <v>33</v>
      </c>
    </row>
    <row r="27" spans="6:20" x14ac:dyDescent="0.2">
      <c r="F27">
        <v>100</v>
      </c>
      <c r="G27">
        <v>0</v>
      </c>
      <c r="H27" t="s">
        <v>31</v>
      </c>
      <c r="J27">
        <f>165.045/412.26</f>
        <v>0.40034201717362827</v>
      </c>
      <c r="K27">
        <f>208.97/412.26</f>
        <v>0.50688885654683935</v>
      </c>
      <c r="L27" t="s">
        <v>31</v>
      </c>
      <c r="N27">
        <v>63.063063063063062</v>
      </c>
      <c r="O27">
        <v>78.078078078078079</v>
      </c>
      <c r="P27" t="s">
        <v>33</v>
      </c>
      <c r="R27">
        <v>53.354632587859427</v>
      </c>
      <c r="S27">
        <v>46.006389776357828</v>
      </c>
      <c r="T27" t="s">
        <v>31</v>
      </c>
    </row>
    <row r="28" spans="6:20" x14ac:dyDescent="0.2">
      <c r="F28">
        <v>67.924528301886795</v>
      </c>
      <c r="G28">
        <v>0</v>
      </c>
      <c r="H28" t="s">
        <v>31</v>
      </c>
      <c r="J28">
        <f>112.291/600</f>
        <v>0.18715166666666666</v>
      </c>
      <c r="K28">
        <f>280.917/600</f>
        <v>0.46819499999999997</v>
      </c>
      <c r="L28" t="s">
        <v>33</v>
      </c>
      <c r="N28">
        <v>72.767857142857139</v>
      </c>
      <c r="O28">
        <v>77.678571428571431</v>
      </c>
      <c r="P28" t="s">
        <v>33</v>
      </c>
      <c r="R28">
        <v>62.411347517730498</v>
      </c>
      <c r="S28">
        <v>28.368794326241137</v>
      </c>
      <c r="T28" t="s">
        <v>33</v>
      </c>
    </row>
    <row r="29" spans="6:20" x14ac:dyDescent="0.2">
      <c r="F29">
        <v>75.254237288135599</v>
      </c>
      <c r="G29">
        <v>0</v>
      </c>
      <c r="H29" t="s">
        <v>31</v>
      </c>
      <c r="J29">
        <f>140.225/346.441</f>
        <v>0.40475867463723986</v>
      </c>
      <c r="K29">
        <f>194.48/346.441</f>
        <v>0.56136542730219574</v>
      </c>
      <c r="L29" t="s">
        <v>31</v>
      </c>
      <c r="N29">
        <v>11.200000000000001</v>
      </c>
      <c r="O29">
        <v>76.8</v>
      </c>
      <c r="P29" t="s">
        <v>33</v>
      </c>
      <c r="R29">
        <v>36.55913978494624</v>
      </c>
      <c r="S29">
        <v>37.8494623655914</v>
      </c>
      <c r="T29" t="s">
        <v>31</v>
      </c>
    </row>
    <row r="30" spans="6:20" x14ac:dyDescent="0.2">
      <c r="F30">
        <v>81.949458483754512</v>
      </c>
      <c r="G30">
        <v>97.472924187725624</v>
      </c>
      <c r="H30" t="s">
        <v>33</v>
      </c>
      <c r="J30">
        <f>194.734/600</f>
        <v>0.32455666666666666</v>
      </c>
      <c r="K30">
        <f>260.383/600</f>
        <v>0.43397166666666664</v>
      </c>
      <c r="L30" t="s">
        <v>33</v>
      </c>
      <c r="N30">
        <v>96.825396825396822</v>
      </c>
      <c r="O30">
        <v>71.428571428571431</v>
      </c>
      <c r="P30" t="s">
        <v>33</v>
      </c>
      <c r="R30">
        <v>100</v>
      </c>
      <c r="S30">
        <v>0</v>
      </c>
      <c r="T30" t="s">
        <v>31</v>
      </c>
    </row>
    <row r="31" spans="6:20" x14ac:dyDescent="0.2">
      <c r="F31">
        <v>82.166666666666671</v>
      </c>
      <c r="G31">
        <v>63.666666666666671</v>
      </c>
      <c r="H31" t="s">
        <v>33</v>
      </c>
      <c r="J31">
        <f>165.417/563.738</f>
        <v>0.29342886234385473</v>
      </c>
      <c r="K31">
        <f>339.804/573.318</f>
        <v>0.59269724655426825</v>
      </c>
      <c r="L31" t="s">
        <v>33</v>
      </c>
      <c r="N31">
        <v>80.769230769230774</v>
      </c>
      <c r="O31">
        <v>93.162393162393158</v>
      </c>
      <c r="P31" t="s">
        <v>31</v>
      </c>
      <c r="R31">
        <v>37.417943107221006</v>
      </c>
      <c r="S31">
        <v>53.829321663019691</v>
      </c>
      <c r="T31" t="s">
        <v>33</v>
      </c>
    </row>
    <row r="32" spans="6:20" x14ac:dyDescent="0.2">
      <c r="F32">
        <v>50</v>
      </c>
      <c r="G32">
        <v>76.166666666666671</v>
      </c>
      <c r="H32" t="s">
        <v>31</v>
      </c>
      <c r="J32">
        <f>226.414/600</f>
        <v>0.37735666666666662</v>
      </c>
      <c r="K32">
        <f>269.737/600</f>
        <v>0.44956166666666669</v>
      </c>
      <c r="L32" t="s">
        <v>31</v>
      </c>
      <c r="N32">
        <v>20.075757575757574</v>
      </c>
      <c r="O32">
        <v>63.257575757575758</v>
      </c>
      <c r="P32" t="s">
        <v>33</v>
      </c>
      <c r="R32">
        <v>37.096774193548384</v>
      </c>
      <c r="S32">
        <v>48.387096774193552</v>
      </c>
      <c r="T32" t="s">
        <v>31</v>
      </c>
    </row>
    <row r="33" spans="6:20" x14ac:dyDescent="0.2">
      <c r="F33">
        <v>33.666666666666664</v>
      </c>
      <c r="G33">
        <v>67.333333333333329</v>
      </c>
      <c r="H33" t="s">
        <v>33</v>
      </c>
      <c r="J33">
        <f>284.652/600</f>
        <v>0.47441999999999995</v>
      </c>
      <c r="K33">
        <f>156.675/600</f>
        <v>0.261125</v>
      </c>
      <c r="L33" t="s">
        <v>31</v>
      </c>
      <c r="N33">
        <v>86.926994906621388</v>
      </c>
      <c r="O33">
        <v>71.986417657045848</v>
      </c>
      <c r="P33" t="s">
        <v>31</v>
      </c>
      <c r="R33">
        <v>50.833333333333329</v>
      </c>
      <c r="S33">
        <v>41.666666666666671</v>
      </c>
      <c r="T33" t="s">
        <v>31</v>
      </c>
    </row>
    <row r="34" spans="6:20" x14ac:dyDescent="0.2">
      <c r="F34">
        <v>93.333333333333329</v>
      </c>
      <c r="G34">
        <v>74.666666666666671</v>
      </c>
      <c r="J34">
        <f>147.492/276</f>
        <v>0.534391304347826</v>
      </c>
      <c r="K34">
        <f>113.765/276</f>
        <v>0.41219202898550727</v>
      </c>
      <c r="L34" t="s">
        <v>31</v>
      </c>
      <c r="N34">
        <v>50.980392156862742</v>
      </c>
      <c r="O34">
        <v>72.549019607843135</v>
      </c>
      <c r="P34" t="s">
        <v>31</v>
      </c>
      <c r="R34">
        <v>62.5</v>
      </c>
      <c r="S34">
        <v>33.55263157894737</v>
      </c>
      <c r="T34" t="s">
        <v>31</v>
      </c>
    </row>
    <row r="35" spans="6:20" x14ac:dyDescent="0.2">
      <c r="F35">
        <v>0</v>
      </c>
      <c r="G35">
        <v>100</v>
      </c>
      <c r="H35" t="s">
        <v>33</v>
      </c>
      <c r="J35">
        <f>366.566/600</f>
        <v>0.61094333333333328</v>
      </c>
      <c r="K35">
        <f>195.649/600</f>
        <v>0.32608166666666666</v>
      </c>
      <c r="L35" t="s">
        <v>31</v>
      </c>
      <c r="N35">
        <v>76.388888888888886</v>
      </c>
      <c r="O35">
        <v>93.055555555555557</v>
      </c>
      <c r="P35" t="s">
        <v>31</v>
      </c>
      <c r="R35">
        <v>23.780487804878049</v>
      </c>
      <c r="S35">
        <v>73.170731707317074</v>
      </c>
      <c r="T35" t="s">
        <v>33</v>
      </c>
    </row>
    <row r="36" spans="6:20" x14ac:dyDescent="0.2">
      <c r="F36">
        <v>82.926829268292678</v>
      </c>
      <c r="G36">
        <v>63.066202090592341</v>
      </c>
      <c r="H36" t="s">
        <v>31</v>
      </c>
      <c r="J36">
        <f>212.244/457.923</f>
        <v>0.46349277061864114</v>
      </c>
      <c r="K36">
        <f>210.391/457.923</f>
        <v>0.45944623877813517</v>
      </c>
      <c r="L36" t="s">
        <v>33</v>
      </c>
      <c r="N36">
        <v>52.173913043478258</v>
      </c>
      <c r="O36">
        <v>39.130434782608695</v>
      </c>
      <c r="P36" t="s">
        <v>33</v>
      </c>
      <c r="R36">
        <v>34.166666666666664</v>
      </c>
      <c r="S36">
        <v>22.5</v>
      </c>
      <c r="T36" t="s">
        <v>31</v>
      </c>
    </row>
    <row r="37" spans="6:20" x14ac:dyDescent="0.2">
      <c r="F37">
        <v>56.896551724137936</v>
      </c>
      <c r="G37">
        <v>99.425287356321832</v>
      </c>
      <c r="H37" t="s">
        <v>33</v>
      </c>
      <c r="J37">
        <f>300.085/340.55</f>
        <v>0.88117750697401254</v>
      </c>
      <c r="K37">
        <f>18.215/340.55</f>
        <v>5.3487006313316689E-2</v>
      </c>
      <c r="L37" t="s">
        <v>31</v>
      </c>
      <c r="N37">
        <v>81.818181818181827</v>
      </c>
      <c r="O37">
        <v>68.181818181818173</v>
      </c>
      <c r="P37" t="s">
        <v>31</v>
      </c>
      <c r="R37">
        <v>24</v>
      </c>
      <c r="S37">
        <v>71.428571428571431</v>
      </c>
      <c r="T37" t="s">
        <v>33</v>
      </c>
    </row>
    <row r="38" spans="6:20" x14ac:dyDescent="0.2">
      <c r="F38">
        <v>5.166666666666667</v>
      </c>
      <c r="G38">
        <v>55.500000000000007</v>
      </c>
      <c r="H38" t="s">
        <v>33</v>
      </c>
      <c r="J38">
        <f>252.381/473.779</f>
        <v>0.53269773459777658</v>
      </c>
      <c r="K38">
        <f>207.695/473.778</f>
        <v>0.43838042289848828</v>
      </c>
      <c r="L38" t="s">
        <v>31</v>
      </c>
      <c r="N38">
        <v>51.181102362204726</v>
      </c>
      <c r="O38">
        <v>90.551181102362193</v>
      </c>
      <c r="P38" t="s">
        <v>33</v>
      </c>
      <c r="R38">
        <v>42.175066312997352</v>
      </c>
      <c r="S38">
        <v>54.641909814323611</v>
      </c>
      <c r="T38" t="s">
        <v>33</v>
      </c>
    </row>
    <row r="39" spans="6:20" x14ac:dyDescent="0.2">
      <c r="F39">
        <v>88.709677419354833</v>
      </c>
      <c r="G39">
        <v>93.548387096774192</v>
      </c>
      <c r="H39" t="s">
        <v>31</v>
      </c>
      <c r="J39">
        <f>83.583/334.64</f>
        <v>0.24976990198422186</v>
      </c>
      <c r="K39">
        <f>216.896/334.64</f>
        <v>0.64814726273009804</v>
      </c>
      <c r="L39" t="s">
        <v>33</v>
      </c>
      <c r="N39">
        <v>87.945205479452056</v>
      </c>
      <c r="O39">
        <v>63.013698630136986</v>
      </c>
      <c r="P39" t="s">
        <v>31</v>
      </c>
      <c r="R39">
        <v>49.382716049382715</v>
      </c>
      <c r="S39">
        <v>35.061728395061728</v>
      </c>
      <c r="T39" t="s">
        <v>31</v>
      </c>
    </row>
    <row r="40" spans="6:20" x14ac:dyDescent="0.2">
      <c r="F40">
        <v>0</v>
      </c>
      <c r="G40">
        <v>75</v>
      </c>
      <c r="H40" t="s">
        <v>33</v>
      </c>
      <c r="J40">
        <f>194.335/300.637</f>
        <v>0.64641078776065486</v>
      </c>
      <c r="K40">
        <f>81.39/300.637</f>
        <v>0.27072516024308385</v>
      </c>
      <c r="L40" t="s">
        <v>33</v>
      </c>
      <c r="R40">
        <v>55.076142131979701</v>
      </c>
      <c r="S40">
        <v>31.218274111675125</v>
      </c>
      <c r="T40" t="s">
        <v>33</v>
      </c>
    </row>
    <row r="41" spans="6:20" x14ac:dyDescent="0.2">
      <c r="F41">
        <v>87.333333333333329</v>
      </c>
      <c r="G41">
        <v>55.500000000000007</v>
      </c>
      <c r="J41">
        <f>339.076/600</f>
        <v>0.56512666666666667</v>
      </c>
      <c r="K41">
        <f>155.938/600</f>
        <v>0.25989666666666666</v>
      </c>
      <c r="L41" t="s">
        <v>31</v>
      </c>
      <c r="R41">
        <v>22.833333333333332</v>
      </c>
      <c r="S41">
        <v>72.5</v>
      </c>
      <c r="T41" t="s">
        <v>31</v>
      </c>
    </row>
    <row r="42" spans="6:20" x14ac:dyDescent="0.2">
      <c r="F42">
        <v>67.870036101083031</v>
      </c>
      <c r="G42">
        <v>0</v>
      </c>
      <c r="H42" t="s">
        <v>31</v>
      </c>
      <c r="J42">
        <f>170.786/401.588</f>
        <v>0.42527665169277962</v>
      </c>
      <c r="K42">
        <f>204.34/401.588</f>
        <v>0.50882994511788204</v>
      </c>
      <c r="L42" t="s">
        <v>33</v>
      </c>
      <c r="R42">
        <v>71.929824561403507</v>
      </c>
      <c r="S42">
        <v>26.315789473684209</v>
      </c>
      <c r="T42" t="s">
        <v>31</v>
      </c>
    </row>
    <row r="43" spans="6:20" x14ac:dyDescent="0.2">
      <c r="F43">
        <v>63.716814159292035</v>
      </c>
      <c r="G43">
        <v>21.238938053097346</v>
      </c>
      <c r="H43" t="s">
        <v>31</v>
      </c>
      <c r="J43">
        <f>122.636/385.181</f>
        <v>0.3183853824565594</v>
      </c>
      <c r="K43">
        <f>227.844/385.181</f>
        <v>0.591524504064323</v>
      </c>
      <c r="L43" t="s">
        <v>31</v>
      </c>
      <c r="R43">
        <v>63.392857142857139</v>
      </c>
      <c r="S43">
        <v>29.910714285714285</v>
      </c>
      <c r="T43" t="s">
        <v>33</v>
      </c>
    </row>
    <row r="44" spans="6:20" x14ac:dyDescent="0.2">
      <c r="F44">
        <v>59.808612440191389</v>
      </c>
      <c r="G44">
        <v>73.68421052631578</v>
      </c>
      <c r="H44" t="s">
        <v>33</v>
      </c>
      <c r="J44">
        <f>190.882/600</f>
        <v>0.31813666666666668</v>
      </c>
      <c r="K44">
        <f>87.644/600</f>
        <v>0.14607333333333333</v>
      </c>
      <c r="L44" t="s">
        <v>31</v>
      </c>
      <c r="R44">
        <v>4.3333333333333339</v>
      </c>
      <c r="S44">
        <v>15</v>
      </c>
    </row>
    <row r="45" spans="6:20" x14ac:dyDescent="0.2">
      <c r="F45">
        <v>70.666666666666671</v>
      </c>
      <c r="G45">
        <v>0</v>
      </c>
      <c r="J45">
        <f>163.044/318.592</f>
        <v>0.51176426275612696</v>
      </c>
      <c r="K45">
        <f>142.521/318.592</f>
        <v>0.44734644937725992</v>
      </c>
      <c r="L45" t="s">
        <v>33</v>
      </c>
      <c r="R45">
        <v>0</v>
      </c>
      <c r="S45">
        <v>100</v>
      </c>
      <c r="T45" t="s">
        <v>33</v>
      </c>
    </row>
    <row r="46" spans="6:20" x14ac:dyDescent="0.2">
      <c r="F46">
        <v>5.5248618784530388</v>
      </c>
      <c r="G46">
        <v>18.232044198895029</v>
      </c>
      <c r="H46" t="s">
        <v>31</v>
      </c>
      <c r="J46">
        <f>319.389/549.699</f>
        <v>0.58102525200154997</v>
      </c>
      <c r="K46">
        <f>182.299/549.699</f>
        <v>0.33163422163765993</v>
      </c>
      <c r="L46" t="s">
        <v>33</v>
      </c>
      <c r="R46">
        <v>48.979591836734691</v>
      </c>
      <c r="S46">
        <v>13.26530612244898</v>
      </c>
      <c r="T46" t="s">
        <v>31</v>
      </c>
    </row>
    <row r="47" spans="6:20" x14ac:dyDescent="0.2">
      <c r="F47">
        <v>59.595959595959592</v>
      </c>
      <c r="G47">
        <v>61.616161616161612</v>
      </c>
      <c r="H47" t="s">
        <v>31</v>
      </c>
      <c r="R47">
        <v>58.5</v>
      </c>
      <c r="S47">
        <v>39.5</v>
      </c>
      <c r="T47" t="s">
        <v>33</v>
      </c>
    </row>
    <row r="48" spans="6:20" x14ac:dyDescent="0.2">
      <c r="F48">
        <v>42.857142857142854</v>
      </c>
      <c r="G48">
        <v>83.720930232558146</v>
      </c>
      <c r="H48" t="s">
        <v>31</v>
      </c>
      <c r="R48">
        <v>32.857142857142854</v>
      </c>
      <c r="S48">
        <v>61.428571428571431</v>
      </c>
      <c r="T48" t="s">
        <v>33</v>
      </c>
    </row>
    <row r="49" spans="6:20" x14ac:dyDescent="0.2">
      <c r="F49">
        <v>50.53533190578159</v>
      </c>
      <c r="G49">
        <v>47.751605995717341</v>
      </c>
      <c r="H49" t="s">
        <v>33</v>
      </c>
      <c r="R49">
        <v>53.11203319502075</v>
      </c>
      <c r="S49">
        <v>46.473029045643152</v>
      </c>
      <c r="T49" t="s">
        <v>31</v>
      </c>
    </row>
    <row r="50" spans="6:20" x14ac:dyDescent="0.2">
      <c r="F50">
        <v>85.689948892674622</v>
      </c>
      <c r="G50">
        <v>88.415672913117547</v>
      </c>
      <c r="H50" t="s">
        <v>31</v>
      </c>
      <c r="R50">
        <v>47.810218978102192</v>
      </c>
      <c r="S50">
        <v>39.051094890510953</v>
      </c>
      <c r="T50" t="s">
        <v>31</v>
      </c>
    </row>
    <row r="51" spans="6:20" x14ac:dyDescent="0.2">
      <c r="F51">
        <v>20.3125</v>
      </c>
      <c r="G51">
        <v>98.4375</v>
      </c>
      <c r="H51" t="s">
        <v>33</v>
      </c>
      <c r="R51">
        <v>61.904761904761905</v>
      </c>
      <c r="S51">
        <v>27.705627705627705</v>
      </c>
      <c r="T51" t="s">
        <v>33</v>
      </c>
    </row>
    <row r="52" spans="6:20" x14ac:dyDescent="0.2">
      <c r="F52">
        <v>90.338164251207729</v>
      </c>
      <c r="G52">
        <v>15.942028985507244</v>
      </c>
      <c r="H52" t="s">
        <v>31</v>
      </c>
      <c r="R52">
        <v>23.481781376518217</v>
      </c>
      <c r="S52">
        <v>60.728744939271252</v>
      </c>
      <c r="T52" t="s">
        <v>33</v>
      </c>
    </row>
    <row r="53" spans="6:20" x14ac:dyDescent="0.2">
      <c r="F53">
        <v>74.698795180722882</v>
      </c>
      <c r="G53">
        <v>54.01606425702812</v>
      </c>
      <c r="H53" t="s">
        <v>31</v>
      </c>
      <c r="R53">
        <v>16.33986928104575</v>
      </c>
      <c r="S53">
        <v>72.875816993464042</v>
      </c>
      <c r="T53" t="s">
        <v>33</v>
      </c>
    </row>
    <row r="54" spans="6:20" x14ac:dyDescent="0.2">
      <c r="F54">
        <v>84.166666666666671</v>
      </c>
      <c r="G54">
        <v>63.666666666666671</v>
      </c>
      <c r="R54">
        <v>28.338762214983714</v>
      </c>
      <c r="S54">
        <v>57.654723127035837</v>
      </c>
      <c r="T54" t="s">
        <v>31</v>
      </c>
    </row>
    <row r="55" spans="6:20" x14ac:dyDescent="0.2">
      <c r="F55">
        <v>72.727272727272734</v>
      </c>
      <c r="G55">
        <v>100</v>
      </c>
      <c r="H55" t="s">
        <v>31</v>
      </c>
      <c r="R55">
        <v>50</v>
      </c>
      <c r="S55">
        <v>44.791666666666671</v>
      </c>
      <c r="T55" t="s">
        <v>31</v>
      </c>
    </row>
    <row r="56" spans="6:20" x14ac:dyDescent="0.2">
      <c r="F56">
        <v>36.592178770949715</v>
      </c>
      <c r="G56">
        <v>61.731843575418999</v>
      </c>
      <c r="H56" t="s">
        <v>31</v>
      </c>
    </row>
    <row r="57" spans="6:20" x14ac:dyDescent="0.2">
      <c r="F57">
        <v>85.365853658536579</v>
      </c>
      <c r="G57">
        <v>68.780487804878049</v>
      </c>
      <c r="H57" t="s">
        <v>33</v>
      </c>
    </row>
    <row r="58" spans="6:20" x14ac:dyDescent="0.2">
      <c r="F58">
        <v>62.23776223776224</v>
      </c>
      <c r="G58">
        <v>0</v>
      </c>
      <c r="H58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3E985-C980-FF4C-8078-E10B789814FA}">
  <dimension ref="C1:S68"/>
  <sheetViews>
    <sheetView workbookViewId="0">
      <selection activeCell="B1" sqref="B1"/>
    </sheetView>
  </sheetViews>
  <sheetFormatPr baseColWidth="10" defaultRowHeight="16" x14ac:dyDescent="0.2"/>
  <cols>
    <col min="3" max="3" width="24.1640625" customWidth="1"/>
    <col min="8" max="8" width="22.33203125" customWidth="1"/>
    <col min="13" max="13" width="29.6640625" customWidth="1"/>
    <col min="17" max="17" width="38.5" customWidth="1"/>
  </cols>
  <sheetData>
    <row r="1" spans="3:19" x14ac:dyDescent="0.2">
      <c r="C1" t="s">
        <v>0</v>
      </c>
      <c r="D1" t="s">
        <v>13</v>
      </c>
      <c r="E1" t="s">
        <v>46</v>
      </c>
      <c r="H1" s="2" t="s">
        <v>0</v>
      </c>
      <c r="I1" t="s">
        <v>15</v>
      </c>
      <c r="J1" t="s">
        <v>46</v>
      </c>
      <c r="M1" t="s">
        <v>0</v>
      </c>
      <c r="N1" t="s">
        <v>13</v>
      </c>
      <c r="O1" t="s">
        <v>50</v>
      </c>
      <c r="Q1" t="s">
        <v>0</v>
      </c>
      <c r="R1" t="s">
        <v>15</v>
      </c>
      <c r="S1" t="s">
        <v>50</v>
      </c>
    </row>
    <row r="2" spans="3:19" x14ac:dyDescent="0.2">
      <c r="C2" t="s">
        <v>43</v>
      </c>
      <c r="D2">
        <v>97.8</v>
      </c>
      <c r="E2">
        <v>1</v>
      </c>
      <c r="H2" t="s">
        <v>43</v>
      </c>
      <c r="I2">
        <v>118</v>
      </c>
      <c r="J2">
        <v>1</v>
      </c>
      <c r="M2" t="s">
        <v>47</v>
      </c>
      <c r="N2">
        <v>90.581166666666661</v>
      </c>
      <c r="O2">
        <v>1</v>
      </c>
      <c r="Q2" t="s">
        <v>47</v>
      </c>
      <c r="R2">
        <v>7</v>
      </c>
      <c r="S2">
        <v>1</v>
      </c>
    </row>
    <row r="3" spans="3:19" x14ac:dyDescent="0.2">
      <c r="C3" t="s">
        <v>43</v>
      </c>
      <c r="D3">
        <v>83.2</v>
      </c>
      <c r="E3">
        <v>1</v>
      </c>
      <c r="H3" t="s">
        <v>43</v>
      </c>
      <c r="J3">
        <v>0</v>
      </c>
      <c r="M3" t="s">
        <v>47</v>
      </c>
      <c r="N3">
        <v>97.409766025462957</v>
      </c>
      <c r="O3">
        <v>1</v>
      </c>
      <c r="Q3" t="s">
        <v>47</v>
      </c>
      <c r="R3">
        <v>243</v>
      </c>
      <c r="S3">
        <v>1</v>
      </c>
    </row>
    <row r="4" spans="3:19" x14ac:dyDescent="0.2">
      <c r="C4" t="s">
        <v>43</v>
      </c>
      <c r="D4">
        <v>99.4</v>
      </c>
      <c r="E4">
        <v>1</v>
      </c>
      <c r="H4" t="s">
        <v>43</v>
      </c>
      <c r="I4">
        <v>70</v>
      </c>
      <c r="J4">
        <v>1</v>
      </c>
      <c r="M4" t="s">
        <v>47</v>
      </c>
      <c r="N4">
        <v>94.291666666666657</v>
      </c>
      <c r="O4">
        <v>1</v>
      </c>
      <c r="Q4" t="s">
        <v>47</v>
      </c>
      <c r="R4">
        <v>105</v>
      </c>
      <c r="S4">
        <v>1</v>
      </c>
    </row>
    <row r="5" spans="3:19" x14ac:dyDescent="0.2">
      <c r="C5" t="s">
        <v>43</v>
      </c>
      <c r="D5">
        <v>98</v>
      </c>
      <c r="E5">
        <v>1</v>
      </c>
      <c r="H5" t="s">
        <v>43</v>
      </c>
      <c r="I5">
        <v>640</v>
      </c>
      <c r="J5">
        <v>1</v>
      </c>
      <c r="M5" t="s">
        <v>47</v>
      </c>
      <c r="N5">
        <v>81.222499999999997</v>
      </c>
      <c r="O5">
        <v>0</v>
      </c>
      <c r="Q5" t="s">
        <v>47</v>
      </c>
      <c r="R5">
        <v>48</v>
      </c>
      <c r="S5">
        <v>1</v>
      </c>
    </row>
    <row r="6" spans="3:19" x14ac:dyDescent="0.2">
      <c r="C6" t="s">
        <v>43</v>
      </c>
      <c r="D6">
        <v>96.399999999999991</v>
      </c>
      <c r="E6">
        <v>1</v>
      </c>
      <c r="H6" t="s">
        <v>43</v>
      </c>
      <c r="I6">
        <v>53</v>
      </c>
      <c r="J6">
        <v>1</v>
      </c>
      <c r="M6" t="s">
        <v>47</v>
      </c>
      <c r="N6">
        <v>99.456999999999994</v>
      </c>
      <c r="O6">
        <v>1</v>
      </c>
      <c r="Q6" t="s">
        <v>47</v>
      </c>
      <c r="R6">
        <v>23</v>
      </c>
      <c r="S6">
        <v>1</v>
      </c>
    </row>
    <row r="7" spans="3:19" x14ac:dyDescent="0.2">
      <c r="C7" t="s">
        <v>43</v>
      </c>
      <c r="D7">
        <v>91.100000000000009</v>
      </c>
      <c r="E7">
        <v>1</v>
      </c>
      <c r="H7" t="s">
        <v>43</v>
      </c>
      <c r="I7">
        <v>425</v>
      </c>
      <c r="J7">
        <v>1</v>
      </c>
      <c r="M7" t="s">
        <v>47</v>
      </c>
      <c r="N7">
        <v>93.195584239504839</v>
      </c>
      <c r="O7">
        <v>1</v>
      </c>
      <c r="Q7" t="s">
        <v>47</v>
      </c>
      <c r="R7">
        <v>54</v>
      </c>
      <c r="S7">
        <v>1</v>
      </c>
    </row>
    <row r="8" spans="3:19" x14ac:dyDescent="0.2">
      <c r="C8" t="s">
        <v>43</v>
      </c>
      <c r="D8">
        <v>77</v>
      </c>
      <c r="E8">
        <v>1</v>
      </c>
      <c r="H8" t="s">
        <v>43</v>
      </c>
      <c r="I8">
        <v>100</v>
      </c>
      <c r="J8">
        <v>1</v>
      </c>
      <c r="M8" t="s">
        <v>47</v>
      </c>
      <c r="N8">
        <v>97.661280044300099</v>
      </c>
      <c r="O8">
        <v>1</v>
      </c>
      <c r="Q8" t="s">
        <v>47</v>
      </c>
      <c r="R8">
        <v>56</v>
      </c>
      <c r="S8">
        <v>1</v>
      </c>
    </row>
    <row r="9" spans="3:19" x14ac:dyDescent="0.2">
      <c r="C9" t="s">
        <v>43</v>
      </c>
      <c r="D9">
        <v>85.399999999999991</v>
      </c>
      <c r="E9">
        <v>1</v>
      </c>
      <c r="H9" t="s">
        <v>43</v>
      </c>
      <c r="I9">
        <v>319</v>
      </c>
      <c r="J9">
        <v>1</v>
      </c>
      <c r="M9" t="s">
        <v>47</v>
      </c>
      <c r="N9">
        <v>90.064244403412204</v>
      </c>
      <c r="O9">
        <v>1</v>
      </c>
      <c r="Q9" t="s">
        <v>47</v>
      </c>
      <c r="R9">
        <v>143</v>
      </c>
      <c r="S9">
        <v>1</v>
      </c>
    </row>
    <row r="10" spans="3:19" x14ac:dyDescent="0.2">
      <c r="C10" t="s">
        <v>43</v>
      </c>
      <c r="D10">
        <v>80.300000000000011</v>
      </c>
      <c r="E10">
        <v>1</v>
      </c>
      <c r="H10" t="s">
        <v>43</v>
      </c>
      <c r="I10">
        <v>378</v>
      </c>
      <c r="J10">
        <v>1</v>
      </c>
      <c r="M10" t="s">
        <v>47</v>
      </c>
      <c r="N10">
        <v>4.6938333333333331</v>
      </c>
      <c r="O10">
        <v>0</v>
      </c>
      <c r="Q10" t="s">
        <v>47</v>
      </c>
      <c r="R10">
        <v>13</v>
      </c>
      <c r="S10">
        <v>1</v>
      </c>
    </row>
    <row r="11" spans="3:19" x14ac:dyDescent="0.2">
      <c r="C11" t="s">
        <v>43</v>
      </c>
      <c r="D11">
        <v>81.5</v>
      </c>
      <c r="E11">
        <v>1</v>
      </c>
      <c r="H11" t="s">
        <v>43</v>
      </c>
      <c r="I11">
        <v>325</v>
      </c>
      <c r="J11">
        <v>1</v>
      </c>
      <c r="M11" t="s">
        <v>47</v>
      </c>
      <c r="N11">
        <v>100</v>
      </c>
      <c r="O11">
        <v>1</v>
      </c>
      <c r="Q11" t="s">
        <v>47</v>
      </c>
      <c r="R11">
        <v>30</v>
      </c>
      <c r="S11">
        <v>1</v>
      </c>
    </row>
    <row r="12" spans="3:19" x14ac:dyDescent="0.2">
      <c r="C12" t="s">
        <v>43</v>
      </c>
      <c r="D12">
        <v>93.8</v>
      </c>
      <c r="E12">
        <v>1</v>
      </c>
      <c r="H12" t="s">
        <v>43</v>
      </c>
      <c r="J12">
        <v>0</v>
      </c>
      <c r="M12" t="s">
        <v>47</v>
      </c>
      <c r="N12">
        <v>95.687633643611747</v>
      </c>
      <c r="O12">
        <v>1</v>
      </c>
      <c r="Q12" t="s">
        <v>47</v>
      </c>
      <c r="R12">
        <v>361</v>
      </c>
      <c r="S12">
        <v>1</v>
      </c>
    </row>
    <row r="13" spans="3:19" x14ac:dyDescent="0.2">
      <c r="C13" t="s">
        <v>43</v>
      </c>
      <c r="D13">
        <v>98.9</v>
      </c>
      <c r="E13">
        <v>1</v>
      </c>
      <c r="H13" t="s">
        <v>43</v>
      </c>
      <c r="I13">
        <v>149</v>
      </c>
      <c r="J13">
        <v>1</v>
      </c>
      <c r="M13" t="s">
        <v>47</v>
      </c>
      <c r="N13">
        <v>11.276833333333332</v>
      </c>
      <c r="O13">
        <v>1</v>
      </c>
      <c r="Q13" t="s">
        <v>47</v>
      </c>
      <c r="R13">
        <v>709</v>
      </c>
      <c r="S13">
        <v>1</v>
      </c>
    </row>
    <row r="14" spans="3:19" x14ac:dyDescent="0.2">
      <c r="C14" t="s">
        <v>43</v>
      </c>
      <c r="D14">
        <v>86.8</v>
      </c>
      <c r="E14">
        <v>0</v>
      </c>
      <c r="H14" t="s">
        <v>43</v>
      </c>
      <c r="I14">
        <v>47</v>
      </c>
      <c r="J14">
        <v>1</v>
      </c>
      <c r="M14" t="s">
        <v>47</v>
      </c>
      <c r="N14">
        <v>99.415777961626063</v>
      </c>
      <c r="O14">
        <v>1</v>
      </c>
      <c r="Q14" t="s">
        <v>47</v>
      </c>
      <c r="R14">
        <v>51</v>
      </c>
      <c r="S14">
        <v>1</v>
      </c>
    </row>
    <row r="15" spans="3:19" x14ac:dyDescent="0.2">
      <c r="C15" t="s">
        <v>43</v>
      </c>
      <c r="D15">
        <v>100</v>
      </c>
      <c r="E15">
        <v>1</v>
      </c>
      <c r="H15" t="s">
        <v>43</v>
      </c>
      <c r="I15">
        <v>71</v>
      </c>
      <c r="J15">
        <v>1</v>
      </c>
      <c r="M15" t="s">
        <v>47</v>
      </c>
      <c r="N15">
        <v>100</v>
      </c>
      <c r="O15">
        <v>1</v>
      </c>
      <c r="Q15" t="s">
        <v>47</v>
      </c>
      <c r="R15">
        <v>351</v>
      </c>
      <c r="S15">
        <v>1</v>
      </c>
    </row>
    <row r="16" spans="3:19" x14ac:dyDescent="0.2">
      <c r="C16" t="s">
        <v>43</v>
      </c>
      <c r="D16">
        <v>88</v>
      </c>
      <c r="E16">
        <v>1</v>
      </c>
      <c r="H16" t="s">
        <v>43</v>
      </c>
      <c r="J16">
        <v>0</v>
      </c>
      <c r="M16" t="s">
        <v>47</v>
      </c>
      <c r="N16">
        <v>100</v>
      </c>
      <c r="O16">
        <v>1</v>
      </c>
      <c r="Q16" t="s">
        <v>47</v>
      </c>
      <c r="R16">
        <v>292</v>
      </c>
      <c r="S16">
        <v>1</v>
      </c>
    </row>
    <row r="17" spans="3:19" x14ac:dyDescent="0.2">
      <c r="C17" t="s">
        <v>43</v>
      </c>
      <c r="D17">
        <v>100</v>
      </c>
      <c r="E17">
        <v>1</v>
      </c>
      <c r="H17" t="s">
        <v>43</v>
      </c>
      <c r="I17">
        <v>116</v>
      </c>
      <c r="J17">
        <v>1</v>
      </c>
      <c r="M17" t="s">
        <v>47</v>
      </c>
      <c r="N17">
        <v>23.328166666666668</v>
      </c>
      <c r="O17">
        <v>1</v>
      </c>
      <c r="Q17" t="s">
        <v>47</v>
      </c>
      <c r="R17">
        <v>26</v>
      </c>
      <c r="S17">
        <v>1</v>
      </c>
    </row>
    <row r="18" spans="3:19" x14ac:dyDescent="0.2">
      <c r="C18" t="s">
        <v>43</v>
      </c>
      <c r="D18">
        <v>100</v>
      </c>
      <c r="E18">
        <v>1</v>
      </c>
      <c r="H18" t="s">
        <v>43</v>
      </c>
      <c r="I18">
        <v>549</v>
      </c>
      <c r="J18">
        <v>1</v>
      </c>
      <c r="M18" t="s">
        <v>47</v>
      </c>
      <c r="N18">
        <v>100</v>
      </c>
      <c r="O18">
        <v>1</v>
      </c>
      <c r="Q18" t="s">
        <v>47</v>
      </c>
      <c r="R18">
        <v>116</v>
      </c>
      <c r="S18">
        <v>1</v>
      </c>
    </row>
    <row r="19" spans="3:19" x14ac:dyDescent="0.2">
      <c r="C19" t="s">
        <v>43</v>
      </c>
      <c r="D19">
        <v>93.8</v>
      </c>
      <c r="E19">
        <v>0</v>
      </c>
      <c r="H19" t="s">
        <v>43</v>
      </c>
      <c r="I19">
        <v>112</v>
      </c>
      <c r="J19">
        <v>1</v>
      </c>
      <c r="M19" t="s">
        <v>47</v>
      </c>
      <c r="N19">
        <v>60.620166666666663</v>
      </c>
      <c r="O19">
        <v>0</v>
      </c>
      <c r="Q19" t="s">
        <v>47</v>
      </c>
      <c r="R19">
        <v>230</v>
      </c>
      <c r="S19">
        <v>1</v>
      </c>
    </row>
    <row r="20" spans="3:19" x14ac:dyDescent="0.2">
      <c r="C20" t="s">
        <v>43</v>
      </c>
      <c r="D20">
        <v>99.4</v>
      </c>
      <c r="E20">
        <v>1</v>
      </c>
      <c r="H20" t="s">
        <v>43</v>
      </c>
      <c r="I20">
        <v>206</v>
      </c>
      <c r="J20">
        <v>1</v>
      </c>
      <c r="M20" t="s">
        <v>47</v>
      </c>
      <c r="N20">
        <v>100</v>
      </c>
      <c r="O20">
        <v>1</v>
      </c>
      <c r="Q20" t="s">
        <v>47</v>
      </c>
      <c r="R20">
        <v>13</v>
      </c>
      <c r="S20">
        <v>1</v>
      </c>
    </row>
    <row r="21" spans="3:19" x14ac:dyDescent="0.2">
      <c r="C21" t="s">
        <v>44</v>
      </c>
      <c r="D21">
        <v>96.8</v>
      </c>
      <c r="E21">
        <v>1</v>
      </c>
      <c r="H21" t="s">
        <v>43</v>
      </c>
      <c r="I21">
        <v>876</v>
      </c>
      <c r="J21">
        <v>1</v>
      </c>
      <c r="M21" t="s">
        <v>48</v>
      </c>
      <c r="N21">
        <v>100</v>
      </c>
      <c r="O21">
        <v>1</v>
      </c>
      <c r="Q21" t="s">
        <v>47</v>
      </c>
      <c r="R21">
        <v>15</v>
      </c>
      <c r="S21">
        <v>1</v>
      </c>
    </row>
    <row r="22" spans="3:19" x14ac:dyDescent="0.2">
      <c r="C22" t="s">
        <v>44</v>
      </c>
      <c r="D22">
        <v>86.3</v>
      </c>
      <c r="E22">
        <v>1</v>
      </c>
      <c r="H22" t="s">
        <v>44</v>
      </c>
      <c r="I22">
        <v>122</v>
      </c>
      <c r="J22">
        <v>1</v>
      </c>
      <c r="M22" t="s">
        <v>48</v>
      </c>
      <c r="N22">
        <v>5.365499999999999</v>
      </c>
      <c r="O22">
        <v>1</v>
      </c>
      <c r="Q22" t="s">
        <v>48</v>
      </c>
      <c r="R22">
        <v>123</v>
      </c>
      <c r="S22">
        <v>1</v>
      </c>
    </row>
    <row r="23" spans="3:19" x14ac:dyDescent="0.2">
      <c r="C23" t="s">
        <v>44</v>
      </c>
      <c r="D23">
        <v>96.3</v>
      </c>
      <c r="E23">
        <v>1</v>
      </c>
      <c r="H23" t="s">
        <v>44</v>
      </c>
      <c r="I23">
        <v>563</v>
      </c>
      <c r="J23">
        <v>1</v>
      </c>
      <c r="M23" t="s">
        <v>48</v>
      </c>
      <c r="N23">
        <v>89.247551599265051</v>
      </c>
      <c r="O23">
        <v>1</v>
      </c>
      <c r="Q23" t="s">
        <v>48</v>
      </c>
      <c r="R23">
        <v>77</v>
      </c>
      <c r="S23">
        <v>1</v>
      </c>
    </row>
    <row r="24" spans="3:19" x14ac:dyDescent="0.2">
      <c r="C24" t="s">
        <v>44</v>
      </c>
      <c r="D24">
        <v>100</v>
      </c>
      <c r="E24">
        <v>1</v>
      </c>
      <c r="H24" t="s">
        <v>44</v>
      </c>
      <c r="I24">
        <v>199</v>
      </c>
      <c r="J24">
        <v>1</v>
      </c>
      <c r="M24" t="s">
        <v>48</v>
      </c>
      <c r="N24">
        <v>84.983435398052393</v>
      </c>
      <c r="O24">
        <v>1</v>
      </c>
      <c r="Q24" t="s">
        <v>48</v>
      </c>
      <c r="R24">
        <v>96</v>
      </c>
      <c r="S24">
        <v>1</v>
      </c>
    </row>
    <row r="25" spans="3:19" x14ac:dyDescent="0.2">
      <c r="C25" t="s">
        <v>44</v>
      </c>
      <c r="D25">
        <v>63.800000000000004</v>
      </c>
      <c r="E25">
        <v>1</v>
      </c>
      <c r="H25" t="s">
        <v>44</v>
      </c>
      <c r="I25">
        <v>138</v>
      </c>
      <c r="J25">
        <v>1</v>
      </c>
      <c r="M25" t="s">
        <v>48</v>
      </c>
      <c r="N25">
        <v>98.823546047143012</v>
      </c>
      <c r="O25">
        <v>1</v>
      </c>
      <c r="Q25" t="s">
        <v>48</v>
      </c>
      <c r="R25">
        <v>113</v>
      </c>
      <c r="S25">
        <v>1</v>
      </c>
    </row>
    <row r="26" spans="3:19" x14ac:dyDescent="0.2">
      <c r="C26" t="s">
        <v>44</v>
      </c>
      <c r="D26">
        <v>96.399999999999991</v>
      </c>
      <c r="E26">
        <v>1</v>
      </c>
      <c r="H26" t="s">
        <v>44</v>
      </c>
      <c r="I26">
        <v>283</v>
      </c>
      <c r="J26">
        <v>1</v>
      </c>
      <c r="M26" t="s">
        <v>48</v>
      </c>
      <c r="N26">
        <v>96.530333333333346</v>
      </c>
      <c r="O26">
        <v>0</v>
      </c>
      <c r="Q26" t="s">
        <v>48</v>
      </c>
      <c r="R26">
        <v>1592</v>
      </c>
      <c r="S26">
        <v>1</v>
      </c>
    </row>
    <row r="27" spans="3:19" x14ac:dyDescent="0.2">
      <c r="C27" t="s">
        <v>44</v>
      </c>
      <c r="D27">
        <v>100</v>
      </c>
      <c r="E27">
        <v>1</v>
      </c>
      <c r="H27" t="s">
        <v>44</v>
      </c>
      <c r="I27">
        <v>400</v>
      </c>
      <c r="J27">
        <v>1</v>
      </c>
      <c r="M27" t="s">
        <v>48</v>
      </c>
      <c r="N27">
        <v>45.223327863669901</v>
      </c>
      <c r="O27">
        <v>1</v>
      </c>
      <c r="Q27" t="s">
        <v>48</v>
      </c>
      <c r="R27">
        <v>142</v>
      </c>
      <c r="S27">
        <v>1</v>
      </c>
    </row>
    <row r="28" spans="3:19" x14ac:dyDescent="0.2">
      <c r="C28" t="s">
        <v>44</v>
      </c>
      <c r="D28">
        <v>25.2</v>
      </c>
      <c r="E28">
        <v>1</v>
      </c>
      <c r="H28" t="s">
        <v>44</v>
      </c>
      <c r="I28">
        <v>420</v>
      </c>
      <c r="J28">
        <v>1</v>
      </c>
      <c r="M28" t="s">
        <v>48</v>
      </c>
      <c r="N28">
        <v>62.322333333333333</v>
      </c>
      <c r="O28">
        <v>0</v>
      </c>
      <c r="Q28" t="s">
        <v>48</v>
      </c>
      <c r="S28">
        <v>0</v>
      </c>
    </row>
    <row r="29" spans="3:19" x14ac:dyDescent="0.2">
      <c r="C29" t="s">
        <v>44</v>
      </c>
      <c r="D29">
        <v>54.800000000000004</v>
      </c>
      <c r="E29">
        <v>0</v>
      </c>
      <c r="H29" t="s">
        <v>44</v>
      </c>
      <c r="I29">
        <v>212</v>
      </c>
      <c r="J29">
        <v>1</v>
      </c>
      <c r="M29" t="s">
        <v>48</v>
      </c>
      <c r="N29">
        <v>100</v>
      </c>
      <c r="O29">
        <v>1</v>
      </c>
      <c r="Q29" t="s">
        <v>48</v>
      </c>
      <c r="R29">
        <v>95</v>
      </c>
      <c r="S29">
        <v>1</v>
      </c>
    </row>
    <row r="30" spans="3:19" x14ac:dyDescent="0.2">
      <c r="C30" t="s">
        <v>44</v>
      </c>
      <c r="D30">
        <v>81</v>
      </c>
      <c r="E30">
        <v>1</v>
      </c>
      <c r="H30" t="s">
        <v>44</v>
      </c>
      <c r="I30">
        <v>178</v>
      </c>
      <c r="J30">
        <v>1</v>
      </c>
      <c r="M30" t="s">
        <v>48</v>
      </c>
      <c r="N30">
        <v>98.368275558382479</v>
      </c>
      <c r="O30">
        <v>1</v>
      </c>
      <c r="Q30" t="s">
        <v>48</v>
      </c>
      <c r="R30">
        <v>1037</v>
      </c>
      <c r="S30">
        <v>1</v>
      </c>
    </row>
    <row r="31" spans="3:19" x14ac:dyDescent="0.2">
      <c r="C31" t="s">
        <v>44</v>
      </c>
      <c r="D31">
        <v>85.5</v>
      </c>
      <c r="E31">
        <v>1</v>
      </c>
      <c r="H31" t="s">
        <v>44</v>
      </c>
      <c r="I31">
        <v>557</v>
      </c>
      <c r="J31">
        <v>1</v>
      </c>
      <c r="M31" t="s">
        <v>48</v>
      </c>
      <c r="N31">
        <v>100</v>
      </c>
      <c r="O31">
        <v>1</v>
      </c>
      <c r="Q31" t="s">
        <v>48</v>
      </c>
      <c r="R31">
        <v>157</v>
      </c>
      <c r="S31">
        <v>1</v>
      </c>
    </row>
    <row r="32" spans="3:19" x14ac:dyDescent="0.2">
      <c r="C32" t="s">
        <v>44</v>
      </c>
      <c r="D32">
        <v>85.7</v>
      </c>
      <c r="E32">
        <v>1</v>
      </c>
      <c r="H32" t="s">
        <v>44</v>
      </c>
      <c r="I32">
        <v>128</v>
      </c>
      <c r="J32">
        <v>1</v>
      </c>
      <c r="M32" t="s">
        <v>48</v>
      </c>
      <c r="N32">
        <v>97.679320204009954</v>
      </c>
      <c r="O32">
        <v>1</v>
      </c>
      <c r="Q32" t="s">
        <v>48</v>
      </c>
      <c r="S32">
        <v>0</v>
      </c>
    </row>
    <row r="33" spans="3:19" x14ac:dyDescent="0.2">
      <c r="C33" t="s">
        <v>44</v>
      </c>
      <c r="D33">
        <v>50.8</v>
      </c>
      <c r="E33">
        <v>1</v>
      </c>
      <c r="H33" t="s">
        <v>44</v>
      </c>
      <c r="I33">
        <v>525</v>
      </c>
      <c r="J33">
        <v>1</v>
      </c>
      <c r="M33" t="s">
        <v>48</v>
      </c>
      <c r="N33">
        <v>100</v>
      </c>
      <c r="O33">
        <v>1</v>
      </c>
      <c r="Q33" t="s">
        <v>48</v>
      </c>
      <c r="R33">
        <v>84</v>
      </c>
      <c r="S33">
        <v>1</v>
      </c>
    </row>
    <row r="34" spans="3:19" x14ac:dyDescent="0.2">
      <c r="C34" t="s">
        <v>44</v>
      </c>
      <c r="D34">
        <v>100</v>
      </c>
      <c r="E34">
        <v>1</v>
      </c>
      <c r="H34" t="s">
        <v>44</v>
      </c>
      <c r="I34">
        <v>166</v>
      </c>
      <c r="J34">
        <v>1</v>
      </c>
      <c r="M34" t="s">
        <v>48</v>
      </c>
      <c r="N34">
        <v>94.934965570007648</v>
      </c>
      <c r="O34">
        <v>1</v>
      </c>
      <c r="Q34" t="s">
        <v>48</v>
      </c>
      <c r="R34">
        <v>635</v>
      </c>
      <c r="S34">
        <v>1</v>
      </c>
    </row>
    <row r="35" spans="3:19" x14ac:dyDescent="0.2">
      <c r="C35" t="s">
        <v>44</v>
      </c>
      <c r="D35">
        <v>97.399999999999991</v>
      </c>
      <c r="E35">
        <v>1</v>
      </c>
      <c r="H35" t="s">
        <v>44</v>
      </c>
      <c r="I35">
        <v>158</v>
      </c>
      <c r="J35">
        <v>1</v>
      </c>
      <c r="M35" t="s">
        <v>48</v>
      </c>
      <c r="N35">
        <v>89.642304541731178</v>
      </c>
      <c r="O35">
        <v>1</v>
      </c>
      <c r="Q35" t="s">
        <v>48</v>
      </c>
      <c r="R35">
        <v>1067</v>
      </c>
      <c r="S35">
        <v>1</v>
      </c>
    </row>
    <row r="36" spans="3:19" x14ac:dyDescent="0.2">
      <c r="C36" t="s">
        <v>44</v>
      </c>
      <c r="D36">
        <v>100</v>
      </c>
      <c r="E36">
        <v>1</v>
      </c>
      <c r="H36" t="s">
        <v>44</v>
      </c>
      <c r="I36">
        <v>72</v>
      </c>
      <c r="J36">
        <v>1</v>
      </c>
      <c r="M36" t="s">
        <v>48</v>
      </c>
      <c r="N36">
        <v>93.703205779803497</v>
      </c>
      <c r="O36">
        <v>1</v>
      </c>
      <c r="Q36" t="s">
        <v>48</v>
      </c>
      <c r="R36">
        <v>86</v>
      </c>
      <c r="S36">
        <v>1</v>
      </c>
    </row>
    <row r="37" spans="3:19" x14ac:dyDescent="0.2">
      <c r="C37" t="s">
        <v>44</v>
      </c>
      <c r="D37">
        <v>73.599999999999994</v>
      </c>
      <c r="E37">
        <v>1</v>
      </c>
      <c r="H37" t="s">
        <v>44</v>
      </c>
      <c r="I37">
        <v>193</v>
      </c>
      <c r="J37">
        <v>1</v>
      </c>
      <c r="M37" t="s">
        <v>48</v>
      </c>
      <c r="N37">
        <v>93.137612057573477</v>
      </c>
      <c r="O37">
        <v>1</v>
      </c>
      <c r="Q37" t="s">
        <v>48</v>
      </c>
      <c r="S37">
        <v>0</v>
      </c>
    </row>
    <row r="38" spans="3:19" x14ac:dyDescent="0.2">
      <c r="C38" t="s">
        <v>44</v>
      </c>
      <c r="D38">
        <v>75.599999999999994</v>
      </c>
      <c r="E38">
        <v>1</v>
      </c>
      <c r="H38" t="s">
        <v>44</v>
      </c>
      <c r="I38">
        <v>361</v>
      </c>
      <c r="J38">
        <v>1</v>
      </c>
      <c r="M38" t="s">
        <v>48</v>
      </c>
      <c r="N38">
        <v>97.997164126196381</v>
      </c>
      <c r="O38">
        <v>1</v>
      </c>
      <c r="Q38" t="s">
        <v>48</v>
      </c>
      <c r="R38">
        <v>79</v>
      </c>
      <c r="S38">
        <v>1</v>
      </c>
    </row>
    <row r="39" spans="3:19" x14ac:dyDescent="0.2">
      <c r="C39" t="s">
        <v>44</v>
      </c>
      <c r="D39">
        <v>59.199999999999996</v>
      </c>
      <c r="E39">
        <v>0</v>
      </c>
      <c r="H39" t="s">
        <v>44</v>
      </c>
      <c r="I39">
        <v>439</v>
      </c>
      <c r="J39">
        <v>1</v>
      </c>
      <c r="M39" t="s">
        <v>48</v>
      </c>
      <c r="N39">
        <v>86.834455837019163</v>
      </c>
      <c r="O39">
        <v>1</v>
      </c>
      <c r="Q39" t="s">
        <v>48</v>
      </c>
      <c r="R39">
        <v>117</v>
      </c>
      <c r="S39">
        <v>1</v>
      </c>
    </row>
    <row r="40" spans="3:19" x14ac:dyDescent="0.2">
      <c r="C40" t="s">
        <v>44</v>
      </c>
      <c r="D40">
        <v>89.1</v>
      </c>
      <c r="E40">
        <v>1</v>
      </c>
      <c r="H40" t="s">
        <v>44</v>
      </c>
      <c r="I40">
        <v>125</v>
      </c>
      <c r="J40">
        <v>1</v>
      </c>
      <c r="M40" t="s">
        <v>48</v>
      </c>
      <c r="N40">
        <v>97.81283333333333</v>
      </c>
      <c r="O40">
        <v>1</v>
      </c>
      <c r="Q40" t="s">
        <v>48</v>
      </c>
      <c r="R40">
        <v>260</v>
      </c>
      <c r="S40">
        <v>1</v>
      </c>
    </row>
    <row r="41" spans="3:19" x14ac:dyDescent="0.2">
      <c r="C41" t="s">
        <v>45</v>
      </c>
      <c r="D41">
        <v>100</v>
      </c>
      <c r="E41">
        <v>1</v>
      </c>
      <c r="H41" t="s">
        <v>44</v>
      </c>
      <c r="I41">
        <v>632</v>
      </c>
      <c r="J41">
        <v>1</v>
      </c>
      <c r="M41" t="s">
        <v>48</v>
      </c>
      <c r="N41">
        <v>92.104000000000013</v>
      </c>
      <c r="O41">
        <v>1</v>
      </c>
      <c r="Q41" t="s">
        <v>49</v>
      </c>
      <c r="R41">
        <v>126</v>
      </c>
      <c r="S41">
        <v>1</v>
      </c>
    </row>
    <row r="42" spans="3:19" x14ac:dyDescent="0.2">
      <c r="C42" t="s">
        <v>45</v>
      </c>
      <c r="D42">
        <v>99</v>
      </c>
      <c r="E42">
        <v>1</v>
      </c>
      <c r="H42" t="s">
        <v>44</v>
      </c>
      <c r="I42">
        <v>251</v>
      </c>
      <c r="J42">
        <v>1</v>
      </c>
      <c r="M42" t="s">
        <v>49</v>
      </c>
      <c r="N42">
        <v>98.103209788969664</v>
      </c>
      <c r="O42">
        <v>1</v>
      </c>
      <c r="Q42" t="s">
        <v>49</v>
      </c>
      <c r="R42">
        <v>167</v>
      </c>
      <c r="S42">
        <v>1</v>
      </c>
    </row>
    <row r="43" spans="3:19" x14ac:dyDescent="0.2">
      <c r="C43" t="s">
        <v>45</v>
      </c>
      <c r="D43">
        <v>69.199999999999989</v>
      </c>
      <c r="E43">
        <v>1</v>
      </c>
      <c r="H43" t="s">
        <v>44</v>
      </c>
      <c r="I43">
        <v>256</v>
      </c>
      <c r="J43">
        <v>1</v>
      </c>
      <c r="M43" t="s">
        <v>49</v>
      </c>
      <c r="N43">
        <v>97.533782452822763</v>
      </c>
      <c r="O43">
        <v>1</v>
      </c>
      <c r="Q43" t="s">
        <v>49</v>
      </c>
      <c r="R43">
        <v>95</v>
      </c>
      <c r="S43">
        <v>1</v>
      </c>
    </row>
    <row r="44" spans="3:19" x14ac:dyDescent="0.2">
      <c r="C44" t="s">
        <v>45</v>
      </c>
      <c r="D44">
        <v>80.2</v>
      </c>
      <c r="E44">
        <v>1</v>
      </c>
      <c r="H44" t="s">
        <v>44</v>
      </c>
      <c r="I44">
        <v>297</v>
      </c>
      <c r="J44">
        <v>1</v>
      </c>
      <c r="M44" t="s">
        <v>49</v>
      </c>
      <c r="N44">
        <v>100</v>
      </c>
      <c r="O44">
        <v>1</v>
      </c>
      <c r="Q44" t="s">
        <v>49</v>
      </c>
      <c r="R44">
        <v>155</v>
      </c>
      <c r="S44">
        <v>1</v>
      </c>
    </row>
    <row r="45" spans="3:19" x14ac:dyDescent="0.2">
      <c r="C45" t="s">
        <v>45</v>
      </c>
      <c r="D45">
        <v>87.3</v>
      </c>
      <c r="E45">
        <v>0</v>
      </c>
      <c r="H45" t="s">
        <v>44</v>
      </c>
      <c r="I45">
        <v>300</v>
      </c>
      <c r="J45">
        <v>1</v>
      </c>
      <c r="M45" t="s">
        <v>49</v>
      </c>
      <c r="N45">
        <v>96.374357242289278</v>
      </c>
      <c r="O45">
        <v>1</v>
      </c>
      <c r="Q45" t="s">
        <v>49</v>
      </c>
      <c r="R45">
        <v>101</v>
      </c>
      <c r="S45">
        <v>1</v>
      </c>
    </row>
    <row r="46" spans="3:19" x14ac:dyDescent="0.2">
      <c r="C46" t="s">
        <v>45</v>
      </c>
      <c r="D46">
        <v>89.8</v>
      </c>
      <c r="E46">
        <v>0</v>
      </c>
      <c r="H46" t="s">
        <v>45</v>
      </c>
      <c r="I46">
        <v>42</v>
      </c>
      <c r="J46">
        <v>1</v>
      </c>
      <c r="M46" t="s">
        <v>49</v>
      </c>
      <c r="N46">
        <v>93.016473019736353</v>
      </c>
      <c r="O46">
        <v>1</v>
      </c>
      <c r="Q46" t="s">
        <v>49</v>
      </c>
      <c r="R46">
        <v>12</v>
      </c>
      <c r="S46">
        <v>1</v>
      </c>
    </row>
    <row r="47" spans="3:19" x14ac:dyDescent="0.2">
      <c r="C47" t="s">
        <v>45</v>
      </c>
      <c r="D47">
        <v>20.200000000000003</v>
      </c>
      <c r="E47">
        <v>1</v>
      </c>
      <c r="H47" t="s">
        <v>45</v>
      </c>
      <c r="I47">
        <v>230</v>
      </c>
      <c r="J47">
        <v>1</v>
      </c>
      <c r="M47" t="s">
        <v>49</v>
      </c>
      <c r="N47">
        <v>100</v>
      </c>
      <c r="O47">
        <v>1</v>
      </c>
      <c r="Q47" t="s">
        <v>49</v>
      </c>
      <c r="R47">
        <v>438</v>
      </c>
      <c r="S47">
        <v>1</v>
      </c>
    </row>
    <row r="48" spans="3:19" x14ac:dyDescent="0.2">
      <c r="C48" t="s">
        <v>45</v>
      </c>
      <c r="D48">
        <v>100</v>
      </c>
      <c r="E48">
        <v>1</v>
      </c>
      <c r="H48" t="s">
        <v>45</v>
      </c>
      <c r="I48">
        <v>114</v>
      </c>
      <c r="J48">
        <v>1</v>
      </c>
      <c r="M48" t="s">
        <v>49</v>
      </c>
      <c r="N48">
        <v>100</v>
      </c>
      <c r="O48">
        <v>1</v>
      </c>
      <c r="Q48" t="s">
        <v>49</v>
      </c>
      <c r="R48">
        <v>40</v>
      </c>
      <c r="S48">
        <v>1</v>
      </c>
    </row>
    <row r="49" spans="3:19" x14ac:dyDescent="0.2">
      <c r="C49" t="s">
        <v>45</v>
      </c>
      <c r="D49">
        <v>68.8</v>
      </c>
      <c r="E49">
        <v>0</v>
      </c>
      <c r="H49" t="s">
        <v>45</v>
      </c>
      <c r="I49">
        <v>71</v>
      </c>
      <c r="J49">
        <v>1</v>
      </c>
      <c r="M49" t="s">
        <v>49</v>
      </c>
      <c r="N49">
        <v>86.887076786561209</v>
      </c>
      <c r="O49">
        <v>1</v>
      </c>
      <c r="Q49" t="s">
        <v>49</v>
      </c>
      <c r="R49">
        <v>2</v>
      </c>
      <c r="S49">
        <v>1</v>
      </c>
    </row>
    <row r="50" spans="3:19" x14ac:dyDescent="0.2">
      <c r="C50" t="s">
        <v>45</v>
      </c>
      <c r="D50">
        <v>99.1</v>
      </c>
      <c r="E50">
        <v>1</v>
      </c>
      <c r="H50" t="s">
        <v>45</v>
      </c>
      <c r="I50">
        <v>113</v>
      </c>
      <c r="J50">
        <v>1</v>
      </c>
      <c r="M50" t="s">
        <v>49</v>
      </c>
      <c r="N50">
        <v>100</v>
      </c>
      <c r="O50">
        <v>1</v>
      </c>
      <c r="Q50" t="s">
        <v>49</v>
      </c>
      <c r="R50">
        <v>365</v>
      </c>
      <c r="S50">
        <v>1</v>
      </c>
    </row>
    <row r="51" spans="3:19" x14ac:dyDescent="0.2">
      <c r="C51" t="s">
        <v>45</v>
      </c>
      <c r="D51">
        <v>76.3</v>
      </c>
      <c r="E51">
        <v>1</v>
      </c>
      <c r="H51" t="s">
        <v>45</v>
      </c>
      <c r="I51">
        <v>81</v>
      </c>
      <c r="J51">
        <v>1</v>
      </c>
      <c r="M51" t="s">
        <v>49</v>
      </c>
      <c r="N51">
        <v>99.795103829561398</v>
      </c>
      <c r="O51">
        <v>1</v>
      </c>
      <c r="Q51" t="s">
        <v>49</v>
      </c>
      <c r="R51">
        <v>547</v>
      </c>
      <c r="S51">
        <v>1</v>
      </c>
    </row>
    <row r="52" spans="3:19" x14ac:dyDescent="0.2">
      <c r="C52" t="s">
        <v>45</v>
      </c>
      <c r="D52">
        <v>87.7</v>
      </c>
      <c r="E52">
        <v>0</v>
      </c>
      <c r="H52" t="s">
        <v>45</v>
      </c>
      <c r="I52">
        <v>247</v>
      </c>
      <c r="J52">
        <v>1</v>
      </c>
      <c r="M52" t="s">
        <v>49</v>
      </c>
      <c r="N52">
        <v>99.015499999999989</v>
      </c>
      <c r="O52">
        <v>1</v>
      </c>
      <c r="Q52" t="s">
        <v>49</v>
      </c>
      <c r="R52">
        <v>1154</v>
      </c>
      <c r="S52">
        <v>1</v>
      </c>
    </row>
    <row r="53" spans="3:19" x14ac:dyDescent="0.2">
      <c r="C53" t="s">
        <v>45</v>
      </c>
      <c r="D53">
        <v>100</v>
      </c>
      <c r="E53">
        <v>1</v>
      </c>
      <c r="H53" t="s">
        <v>45</v>
      </c>
      <c r="I53">
        <v>99</v>
      </c>
      <c r="J53">
        <v>1</v>
      </c>
      <c r="M53" t="s">
        <v>49</v>
      </c>
      <c r="N53">
        <v>25.884239354078865</v>
      </c>
      <c r="O53">
        <v>1</v>
      </c>
      <c r="Q53" t="s">
        <v>49</v>
      </c>
      <c r="R53">
        <v>63</v>
      </c>
      <c r="S53">
        <v>1</v>
      </c>
    </row>
    <row r="54" spans="3:19" x14ac:dyDescent="0.2">
      <c r="C54" t="s">
        <v>45</v>
      </c>
      <c r="D54">
        <v>79.800000000000011</v>
      </c>
      <c r="E54">
        <v>1</v>
      </c>
      <c r="H54" t="s">
        <v>45</v>
      </c>
      <c r="I54">
        <v>299</v>
      </c>
      <c r="J54">
        <v>1</v>
      </c>
      <c r="M54" t="s">
        <v>49</v>
      </c>
      <c r="N54">
        <v>100</v>
      </c>
      <c r="O54">
        <v>1</v>
      </c>
      <c r="Q54" t="s">
        <v>49</v>
      </c>
      <c r="R54">
        <v>173</v>
      </c>
      <c r="S54">
        <v>1</v>
      </c>
    </row>
    <row r="55" spans="3:19" x14ac:dyDescent="0.2">
      <c r="C55" t="s">
        <v>45</v>
      </c>
      <c r="D55">
        <v>95</v>
      </c>
      <c r="E55">
        <v>0</v>
      </c>
      <c r="H55" t="s">
        <v>45</v>
      </c>
      <c r="I55">
        <v>156</v>
      </c>
      <c r="J55">
        <v>1</v>
      </c>
      <c r="M55" t="s">
        <v>49</v>
      </c>
      <c r="N55">
        <v>100</v>
      </c>
      <c r="O55">
        <v>1</v>
      </c>
      <c r="Q55" t="s">
        <v>49</v>
      </c>
      <c r="R55">
        <v>195</v>
      </c>
      <c r="S55">
        <v>1</v>
      </c>
    </row>
    <row r="56" spans="3:19" x14ac:dyDescent="0.2">
      <c r="C56" t="s">
        <v>45</v>
      </c>
      <c r="D56">
        <v>76.8</v>
      </c>
      <c r="E56">
        <v>1</v>
      </c>
      <c r="H56" t="s">
        <v>45</v>
      </c>
      <c r="I56">
        <v>210</v>
      </c>
      <c r="J56">
        <v>1</v>
      </c>
      <c r="M56" t="s">
        <v>49</v>
      </c>
      <c r="N56">
        <v>100</v>
      </c>
      <c r="O56">
        <v>1</v>
      </c>
      <c r="Q56" t="s">
        <v>49</v>
      </c>
      <c r="R56">
        <v>1742</v>
      </c>
      <c r="S56">
        <v>1</v>
      </c>
    </row>
    <row r="57" spans="3:19" x14ac:dyDescent="0.2">
      <c r="C57" t="s">
        <v>45</v>
      </c>
      <c r="D57">
        <v>97.3</v>
      </c>
      <c r="E57">
        <v>1</v>
      </c>
      <c r="H57" t="s">
        <v>45</v>
      </c>
      <c r="I57">
        <v>32</v>
      </c>
      <c r="J57">
        <v>1</v>
      </c>
      <c r="M57" t="s">
        <v>49</v>
      </c>
      <c r="N57">
        <v>91.587772824415666</v>
      </c>
      <c r="O57">
        <v>1</v>
      </c>
      <c r="Q57" t="s">
        <v>49</v>
      </c>
      <c r="R57">
        <v>18</v>
      </c>
      <c r="S57">
        <v>1</v>
      </c>
    </row>
    <row r="58" spans="3:19" x14ac:dyDescent="0.2">
      <c r="C58" t="s">
        <v>45</v>
      </c>
      <c r="D58">
        <v>83.899999999999991</v>
      </c>
      <c r="E58">
        <v>1</v>
      </c>
      <c r="H58" t="s">
        <v>45</v>
      </c>
      <c r="I58">
        <v>112</v>
      </c>
      <c r="J58">
        <v>1</v>
      </c>
      <c r="M58" t="s">
        <v>49</v>
      </c>
      <c r="N58">
        <v>70.464014107792337</v>
      </c>
      <c r="O58">
        <v>1</v>
      </c>
      <c r="Q58" t="s">
        <v>49</v>
      </c>
      <c r="R58">
        <v>661</v>
      </c>
      <c r="S58">
        <v>1</v>
      </c>
    </row>
    <row r="59" spans="3:19" x14ac:dyDescent="0.2">
      <c r="C59" t="s">
        <v>45</v>
      </c>
      <c r="D59">
        <v>84.5</v>
      </c>
      <c r="E59">
        <v>0</v>
      </c>
      <c r="H59" t="s">
        <v>45</v>
      </c>
      <c r="I59">
        <v>35</v>
      </c>
      <c r="J59">
        <v>1</v>
      </c>
      <c r="M59" t="s">
        <v>49</v>
      </c>
      <c r="N59">
        <v>100</v>
      </c>
      <c r="O59">
        <v>1</v>
      </c>
      <c r="Q59" t="s">
        <v>49</v>
      </c>
      <c r="R59">
        <v>92</v>
      </c>
      <c r="S59">
        <v>1</v>
      </c>
    </row>
    <row r="60" spans="3:19" x14ac:dyDescent="0.2">
      <c r="C60" t="s">
        <v>45</v>
      </c>
      <c r="D60">
        <v>100</v>
      </c>
      <c r="E60">
        <v>1</v>
      </c>
      <c r="H60" t="s">
        <v>45</v>
      </c>
      <c r="I60">
        <v>188</v>
      </c>
      <c r="J60">
        <v>1</v>
      </c>
      <c r="M60" t="s">
        <v>49</v>
      </c>
      <c r="N60">
        <v>79.672767888588112</v>
      </c>
      <c r="O60">
        <v>1</v>
      </c>
    </row>
    <row r="61" spans="3:19" x14ac:dyDescent="0.2">
      <c r="H61" t="s">
        <v>45</v>
      </c>
      <c r="I61">
        <v>263</v>
      </c>
      <c r="J61">
        <v>1</v>
      </c>
      <c r="M61" t="s">
        <v>49</v>
      </c>
      <c r="N61">
        <v>91.124105265128591</v>
      </c>
      <c r="O61">
        <v>1</v>
      </c>
    </row>
    <row r="62" spans="3:19" x14ac:dyDescent="0.2">
      <c r="H62" t="s">
        <v>45</v>
      </c>
      <c r="I62">
        <v>633</v>
      </c>
      <c r="J62">
        <v>1</v>
      </c>
    </row>
    <row r="63" spans="3:19" x14ac:dyDescent="0.2">
      <c r="H63" t="s">
        <v>45</v>
      </c>
      <c r="I63">
        <v>319</v>
      </c>
      <c r="J63">
        <v>1</v>
      </c>
    </row>
    <row r="64" spans="3:19" x14ac:dyDescent="0.2">
      <c r="H64" t="s">
        <v>45</v>
      </c>
      <c r="I64">
        <v>260</v>
      </c>
      <c r="J64">
        <v>1</v>
      </c>
    </row>
    <row r="65" spans="8:10" x14ac:dyDescent="0.2">
      <c r="H65" t="s">
        <v>45</v>
      </c>
      <c r="I65">
        <v>230</v>
      </c>
      <c r="J65">
        <v>1</v>
      </c>
    </row>
    <row r="66" spans="8:10" x14ac:dyDescent="0.2">
      <c r="H66" t="s">
        <v>45</v>
      </c>
      <c r="I66">
        <v>240</v>
      </c>
      <c r="J66">
        <v>1</v>
      </c>
    </row>
    <row r="67" spans="8:10" x14ac:dyDescent="0.2">
      <c r="H67" t="s">
        <v>45</v>
      </c>
      <c r="I67">
        <v>238</v>
      </c>
      <c r="J67">
        <v>1</v>
      </c>
    </row>
    <row r="68" spans="8:10" x14ac:dyDescent="0.2">
      <c r="H68" t="s">
        <v>45</v>
      </c>
      <c r="I68">
        <v>260</v>
      </c>
      <c r="J6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8060B-A1C2-C549-A96C-BC1DE53B455D}">
  <dimension ref="B1:BH82"/>
  <sheetViews>
    <sheetView topLeftCell="AT1" workbookViewId="0">
      <selection activeCell="BH46" sqref="BH46:BH54"/>
    </sheetView>
  </sheetViews>
  <sheetFormatPr baseColWidth="10" defaultRowHeight="16" x14ac:dyDescent="0.2"/>
  <cols>
    <col min="2" max="2" width="22.33203125" customWidth="1"/>
    <col min="7" max="7" width="15.83203125" customWidth="1"/>
    <col min="42" max="42" width="11.83203125" customWidth="1"/>
  </cols>
  <sheetData>
    <row r="1" spans="2:60" x14ac:dyDescent="0.2">
      <c r="B1" t="s">
        <v>17</v>
      </c>
      <c r="C1" t="s">
        <v>51</v>
      </c>
      <c r="D1" t="s">
        <v>27</v>
      </c>
      <c r="G1" t="s">
        <v>17</v>
      </c>
      <c r="H1" t="s">
        <v>51</v>
      </c>
      <c r="I1" t="s">
        <v>27</v>
      </c>
      <c r="J1" t="s">
        <v>53</v>
      </c>
      <c r="L1" t="s">
        <v>17</v>
      </c>
      <c r="M1" t="s">
        <v>51</v>
      </c>
      <c r="N1" t="s">
        <v>27</v>
      </c>
      <c r="O1" t="s">
        <v>53</v>
      </c>
      <c r="Q1" t="s">
        <v>17</v>
      </c>
      <c r="R1" t="s">
        <v>51</v>
      </c>
      <c r="S1" t="s">
        <v>27</v>
      </c>
      <c r="T1" t="s">
        <v>53</v>
      </c>
      <c r="V1" t="s">
        <v>17</v>
      </c>
      <c r="W1" t="s">
        <v>51</v>
      </c>
      <c r="X1" t="s">
        <v>27</v>
      </c>
      <c r="Y1" t="s">
        <v>53</v>
      </c>
      <c r="AA1" t="s">
        <v>17</v>
      </c>
      <c r="AB1" t="s">
        <v>51</v>
      </c>
      <c r="AC1" t="s">
        <v>27</v>
      </c>
      <c r="AD1" t="s">
        <v>53</v>
      </c>
      <c r="AF1" t="s">
        <v>17</v>
      </c>
      <c r="AG1" t="s">
        <v>51</v>
      </c>
      <c r="AH1" t="s">
        <v>27</v>
      </c>
      <c r="AI1" t="s">
        <v>53</v>
      </c>
      <c r="AK1" t="s">
        <v>17</v>
      </c>
      <c r="AL1" t="s">
        <v>51</v>
      </c>
      <c r="AM1" t="s">
        <v>27</v>
      </c>
      <c r="AN1" t="s">
        <v>53</v>
      </c>
      <c r="AP1" t="s">
        <v>17</v>
      </c>
      <c r="AQ1" t="s">
        <v>51</v>
      </c>
      <c r="AR1" t="s">
        <v>27</v>
      </c>
      <c r="AS1" t="s">
        <v>53</v>
      </c>
      <c r="AU1" t="s">
        <v>17</v>
      </c>
      <c r="AV1" t="s">
        <v>51</v>
      </c>
      <c r="AW1" t="s">
        <v>27</v>
      </c>
      <c r="AX1" t="s">
        <v>53</v>
      </c>
      <c r="AZ1" t="s">
        <v>17</v>
      </c>
      <c r="BA1" t="s">
        <v>51</v>
      </c>
      <c r="BB1" t="s">
        <v>27</v>
      </c>
      <c r="BC1" t="s">
        <v>53</v>
      </c>
      <c r="BE1" t="s">
        <v>17</v>
      </c>
      <c r="BF1" t="s">
        <v>51</v>
      </c>
      <c r="BG1" t="s">
        <v>27</v>
      </c>
      <c r="BH1" t="s">
        <v>53</v>
      </c>
    </row>
    <row r="2" spans="2:60" x14ac:dyDescent="0.2">
      <c r="B2" t="s">
        <v>19</v>
      </c>
      <c r="C2">
        <v>10</v>
      </c>
      <c r="D2">
        <v>0</v>
      </c>
      <c r="G2" t="s">
        <v>19</v>
      </c>
      <c r="H2">
        <v>10</v>
      </c>
      <c r="I2">
        <v>0</v>
      </c>
      <c r="J2" t="s">
        <v>55</v>
      </c>
      <c r="L2" t="s">
        <v>19</v>
      </c>
      <c r="M2">
        <v>24</v>
      </c>
      <c r="N2">
        <v>0</v>
      </c>
      <c r="O2" t="s">
        <v>54</v>
      </c>
      <c r="Q2" t="s">
        <v>19</v>
      </c>
      <c r="R2">
        <v>24</v>
      </c>
      <c r="S2">
        <v>0</v>
      </c>
      <c r="T2" t="s">
        <v>55</v>
      </c>
      <c r="V2" t="s">
        <v>19</v>
      </c>
      <c r="W2">
        <v>72</v>
      </c>
      <c r="X2">
        <v>0</v>
      </c>
      <c r="Y2" t="s">
        <v>54</v>
      </c>
      <c r="AA2" t="s">
        <v>19</v>
      </c>
      <c r="AB2">
        <v>72</v>
      </c>
      <c r="AC2">
        <v>0</v>
      </c>
      <c r="AD2" t="s">
        <v>55</v>
      </c>
      <c r="AF2" t="s">
        <v>19</v>
      </c>
      <c r="AG2">
        <v>72</v>
      </c>
      <c r="AH2">
        <v>0</v>
      </c>
      <c r="AI2" t="s">
        <v>54</v>
      </c>
      <c r="AK2" t="s">
        <v>19</v>
      </c>
      <c r="AL2">
        <v>72</v>
      </c>
      <c r="AM2">
        <v>0</v>
      </c>
      <c r="AN2" t="s">
        <v>55</v>
      </c>
      <c r="AP2" t="s">
        <v>19</v>
      </c>
      <c r="AQ2">
        <v>72</v>
      </c>
      <c r="AR2">
        <v>0</v>
      </c>
      <c r="AS2" t="s">
        <v>54</v>
      </c>
      <c r="AU2" t="s">
        <v>19</v>
      </c>
      <c r="AV2">
        <v>72</v>
      </c>
      <c r="AW2">
        <v>0</v>
      </c>
      <c r="AX2" t="s">
        <v>55</v>
      </c>
      <c r="AZ2" t="s">
        <v>19</v>
      </c>
      <c r="BA2">
        <v>168</v>
      </c>
      <c r="BB2">
        <v>0</v>
      </c>
      <c r="BC2" t="s">
        <v>54</v>
      </c>
      <c r="BE2" t="s">
        <v>19</v>
      </c>
      <c r="BF2">
        <v>168</v>
      </c>
      <c r="BG2">
        <v>0</v>
      </c>
      <c r="BH2" t="s">
        <v>55</v>
      </c>
    </row>
    <row r="3" spans="2:60" x14ac:dyDescent="0.2">
      <c r="B3" t="s">
        <v>19</v>
      </c>
      <c r="C3">
        <v>10</v>
      </c>
      <c r="D3">
        <v>0</v>
      </c>
      <c r="G3" t="s">
        <v>19</v>
      </c>
      <c r="H3">
        <v>10</v>
      </c>
      <c r="I3">
        <v>0</v>
      </c>
      <c r="J3" t="s">
        <v>55</v>
      </c>
      <c r="L3" t="s">
        <v>19</v>
      </c>
      <c r="M3">
        <v>24</v>
      </c>
      <c r="N3">
        <v>0</v>
      </c>
      <c r="O3" t="s">
        <v>54</v>
      </c>
      <c r="Q3" t="s">
        <v>19</v>
      </c>
      <c r="R3">
        <v>24</v>
      </c>
      <c r="S3">
        <v>0</v>
      </c>
      <c r="T3" t="s">
        <v>55</v>
      </c>
      <c r="V3" t="s">
        <v>19</v>
      </c>
      <c r="W3">
        <v>72</v>
      </c>
      <c r="X3">
        <v>0</v>
      </c>
      <c r="Y3" t="s">
        <v>54</v>
      </c>
      <c r="AA3" t="s">
        <v>19</v>
      </c>
      <c r="AB3">
        <v>72</v>
      </c>
      <c r="AC3">
        <v>0</v>
      </c>
      <c r="AD3" t="s">
        <v>55</v>
      </c>
      <c r="AF3" t="s">
        <v>19</v>
      </c>
      <c r="AG3">
        <v>72</v>
      </c>
      <c r="AH3">
        <v>0</v>
      </c>
      <c r="AI3" t="s">
        <v>54</v>
      </c>
      <c r="AK3" t="s">
        <v>19</v>
      </c>
      <c r="AL3">
        <v>72</v>
      </c>
      <c r="AM3">
        <v>0</v>
      </c>
      <c r="AN3" t="s">
        <v>55</v>
      </c>
      <c r="AP3" t="s">
        <v>19</v>
      </c>
      <c r="AQ3">
        <v>72</v>
      </c>
      <c r="AR3">
        <v>0</v>
      </c>
      <c r="AS3" t="s">
        <v>54</v>
      </c>
      <c r="AU3" t="s">
        <v>19</v>
      </c>
      <c r="AV3">
        <v>72</v>
      </c>
      <c r="AW3">
        <v>0</v>
      </c>
      <c r="AX3" t="s">
        <v>55</v>
      </c>
      <c r="AZ3" t="s">
        <v>19</v>
      </c>
      <c r="BA3">
        <v>168</v>
      </c>
      <c r="BB3">
        <v>0</v>
      </c>
      <c r="BC3" t="s">
        <v>54</v>
      </c>
      <c r="BE3" t="s">
        <v>19</v>
      </c>
      <c r="BF3">
        <v>168</v>
      </c>
      <c r="BG3">
        <v>0</v>
      </c>
      <c r="BH3" t="s">
        <v>55</v>
      </c>
    </row>
    <row r="4" spans="2:60" x14ac:dyDescent="0.2">
      <c r="B4" t="s">
        <v>19</v>
      </c>
      <c r="C4">
        <v>10</v>
      </c>
      <c r="D4">
        <v>0</v>
      </c>
      <c r="G4" t="s">
        <v>19</v>
      </c>
      <c r="H4">
        <v>10</v>
      </c>
      <c r="I4">
        <v>0</v>
      </c>
      <c r="J4" t="s">
        <v>55</v>
      </c>
      <c r="L4" t="s">
        <v>19</v>
      </c>
      <c r="M4">
        <v>24</v>
      </c>
      <c r="N4">
        <v>0</v>
      </c>
      <c r="O4" t="s">
        <v>54</v>
      </c>
      <c r="Q4" t="s">
        <v>19</v>
      </c>
      <c r="R4">
        <v>24</v>
      </c>
      <c r="S4">
        <v>0</v>
      </c>
      <c r="T4" t="s">
        <v>55</v>
      </c>
      <c r="V4" t="s">
        <v>19</v>
      </c>
      <c r="W4">
        <v>72</v>
      </c>
      <c r="X4">
        <v>0</v>
      </c>
      <c r="Y4" t="s">
        <v>54</v>
      </c>
      <c r="AA4" t="s">
        <v>19</v>
      </c>
      <c r="AB4">
        <v>72</v>
      </c>
      <c r="AC4">
        <v>0</v>
      </c>
      <c r="AD4" t="s">
        <v>55</v>
      </c>
      <c r="AF4" t="s">
        <v>19</v>
      </c>
      <c r="AG4">
        <v>72</v>
      </c>
      <c r="AH4">
        <v>0</v>
      </c>
      <c r="AI4" t="s">
        <v>54</v>
      </c>
      <c r="AK4" t="s">
        <v>19</v>
      </c>
      <c r="AL4">
        <v>72</v>
      </c>
      <c r="AM4">
        <v>0</v>
      </c>
      <c r="AN4" t="s">
        <v>55</v>
      </c>
      <c r="AP4" t="s">
        <v>19</v>
      </c>
      <c r="AQ4">
        <v>72</v>
      </c>
      <c r="AR4">
        <v>0</v>
      </c>
      <c r="AS4" t="s">
        <v>54</v>
      </c>
      <c r="AU4" t="s">
        <v>19</v>
      </c>
      <c r="AV4">
        <v>72</v>
      </c>
      <c r="AW4">
        <v>0</v>
      </c>
      <c r="AX4" t="s">
        <v>55</v>
      </c>
      <c r="AZ4" t="s">
        <v>19</v>
      </c>
      <c r="BA4">
        <v>168</v>
      </c>
      <c r="BB4">
        <v>0</v>
      </c>
      <c r="BC4" t="s">
        <v>54</v>
      </c>
      <c r="BE4" t="s">
        <v>19</v>
      </c>
      <c r="BF4">
        <v>168</v>
      </c>
      <c r="BG4">
        <v>0</v>
      </c>
      <c r="BH4" t="s">
        <v>55</v>
      </c>
    </row>
    <row r="5" spans="2:60" x14ac:dyDescent="0.2">
      <c r="B5" t="s">
        <v>19</v>
      </c>
      <c r="C5">
        <v>10</v>
      </c>
      <c r="D5">
        <v>0</v>
      </c>
      <c r="G5" t="s">
        <v>19</v>
      </c>
      <c r="H5">
        <v>10</v>
      </c>
      <c r="I5">
        <v>0</v>
      </c>
      <c r="J5" t="s">
        <v>55</v>
      </c>
      <c r="L5" t="s">
        <v>19</v>
      </c>
      <c r="M5">
        <v>24</v>
      </c>
      <c r="N5">
        <v>0</v>
      </c>
      <c r="O5" t="s">
        <v>54</v>
      </c>
      <c r="Q5" t="s">
        <v>19</v>
      </c>
      <c r="R5">
        <v>24</v>
      </c>
      <c r="S5">
        <v>0</v>
      </c>
      <c r="T5" t="s">
        <v>55</v>
      </c>
      <c r="V5" t="s">
        <v>19</v>
      </c>
      <c r="W5">
        <v>72</v>
      </c>
      <c r="X5">
        <v>0</v>
      </c>
      <c r="Y5" t="s">
        <v>54</v>
      </c>
      <c r="AA5" t="s">
        <v>19</v>
      </c>
      <c r="AB5">
        <v>72</v>
      </c>
      <c r="AC5">
        <v>0</v>
      </c>
      <c r="AD5" t="s">
        <v>55</v>
      </c>
      <c r="AF5" t="s">
        <v>19</v>
      </c>
      <c r="AG5">
        <v>72</v>
      </c>
      <c r="AH5">
        <v>0</v>
      </c>
      <c r="AI5" t="s">
        <v>54</v>
      </c>
      <c r="AK5" t="s">
        <v>19</v>
      </c>
      <c r="AL5">
        <v>72</v>
      </c>
      <c r="AM5">
        <v>0</v>
      </c>
      <c r="AN5" t="s">
        <v>55</v>
      </c>
      <c r="AP5" t="s">
        <v>19</v>
      </c>
      <c r="AQ5">
        <v>72</v>
      </c>
      <c r="AR5">
        <v>0</v>
      </c>
      <c r="AS5" t="s">
        <v>54</v>
      </c>
      <c r="AU5" t="s">
        <v>19</v>
      </c>
      <c r="AV5">
        <v>72</v>
      </c>
      <c r="AW5">
        <v>0</v>
      </c>
      <c r="AX5" t="s">
        <v>55</v>
      </c>
      <c r="AZ5" t="s">
        <v>19</v>
      </c>
      <c r="BA5">
        <v>168</v>
      </c>
      <c r="BB5">
        <v>0</v>
      </c>
      <c r="BC5" t="s">
        <v>54</v>
      </c>
      <c r="BE5" t="s">
        <v>19</v>
      </c>
      <c r="BF5">
        <v>168</v>
      </c>
      <c r="BG5">
        <v>0</v>
      </c>
      <c r="BH5" t="s">
        <v>55</v>
      </c>
    </row>
    <row r="6" spans="2:60" x14ac:dyDescent="0.2">
      <c r="B6" t="s">
        <v>19</v>
      </c>
      <c r="C6">
        <v>10</v>
      </c>
      <c r="D6">
        <v>0</v>
      </c>
      <c r="G6" t="s">
        <v>19</v>
      </c>
      <c r="H6">
        <v>10</v>
      </c>
      <c r="I6">
        <v>0</v>
      </c>
      <c r="J6" t="s">
        <v>55</v>
      </c>
      <c r="L6" t="s">
        <v>19</v>
      </c>
      <c r="M6">
        <v>24</v>
      </c>
      <c r="N6">
        <v>0</v>
      </c>
      <c r="O6" t="s">
        <v>54</v>
      </c>
      <c r="Q6" t="s">
        <v>19</v>
      </c>
      <c r="R6">
        <v>24</v>
      </c>
      <c r="S6">
        <v>0</v>
      </c>
      <c r="T6" t="s">
        <v>55</v>
      </c>
      <c r="V6" t="s">
        <v>19</v>
      </c>
      <c r="W6">
        <v>72</v>
      </c>
      <c r="X6">
        <v>0</v>
      </c>
      <c r="Y6" t="s">
        <v>54</v>
      </c>
      <c r="AA6" t="s">
        <v>19</v>
      </c>
      <c r="AB6">
        <v>72</v>
      </c>
      <c r="AC6">
        <v>0</v>
      </c>
      <c r="AD6" t="s">
        <v>55</v>
      </c>
      <c r="AF6" t="s">
        <v>19</v>
      </c>
      <c r="AG6">
        <v>72</v>
      </c>
      <c r="AH6">
        <v>0</v>
      </c>
      <c r="AI6" t="s">
        <v>54</v>
      </c>
      <c r="AK6" t="s">
        <v>19</v>
      </c>
      <c r="AL6">
        <v>72</v>
      </c>
      <c r="AM6">
        <v>0</v>
      </c>
      <c r="AN6" t="s">
        <v>55</v>
      </c>
      <c r="AP6" t="s">
        <v>19</v>
      </c>
      <c r="AQ6">
        <v>72</v>
      </c>
      <c r="AR6">
        <v>0</v>
      </c>
      <c r="AS6" t="s">
        <v>54</v>
      </c>
      <c r="AU6" t="s">
        <v>19</v>
      </c>
      <c r="AV6">
        <v>72</v>
      </c>
      <c r="AW6">
        <v>0</v>
      </c>
      <c r="AX6" t="s">
        <v>55</v>
      </c>
      <c r="AZ6" t="s">
        <v>19</v>
      </c>
      <c r="BA6">
        <v>168</v>
      </c>
      <c r="BB6">
        <v>0</v>
      </c>
      <c r="BC6" t="s">
        <v>54</v>
      </c>
      <c r="BE6" t="s">
        <v>19</v>
      </c>
      <c r="BF6">
        <v>168</v>
      </c>
      <c r="BG6">
        <v>0</v>
      </c>
      <c r="BH6" t="s">
        <v>55</v>
      </c>
    </row>
    <row r="7" spans="2:60" x14ac:dyDescent="0.2">
      <c r="B7" t="s">
        <v>19</v>
      </c>
      <c r="C7">
        <v>10</v>
      </c>
      <c r="D7">
        <v>0</v>
      </c>
      <c r="G7" t="s">
        <v>19</v>
      </c>
      <c r="H7">
        <v>10</v>
      </c>
      <c r="I7">
        <v>0</v>
      </c>
      <c r="J7" t="s">
        <v>55</v>
      </c>
      <c r="L7" t="s">
        <v>19</v>
      </c>
      <c r="M7">
        <v>24</v>
      </c>
      <c r="N7">
        <v>0</v>
      </c>
      <c r="O7" t="s">
        <v>54</v>
      </c>
      <c r="Q7" t="s">
        <v>19</v>
      </c>
      <c r="R7">
        <v>24</v>
      </c>
      <c r="S7">
        <v>0</v>
      </c>
      <c r="T7" t="s">
        <v>55</v>
      </c>
      <c r="V7" t="s">
        <v>19</v>
      </c>
      <c r="W7">
        <v>72</v>
      </c>
      <c r="X7">
        <v>0</v>
      </c>
      <c r="Y7" t="s">
        <v>54</v>
      </c>
      <c r="AA7" t="s">
        <v>19</v>
      </c>
      <c r="AB7">
        <v>72</v>
      </c>
      <c r="AC7">
        <v>0</v>
      </c>
      <c r="AD7" t="s">
        <v>55</v>
      </c>
      <c r="AF7" t="s">
        <v>19</v>
      </c>
      <c r="AG7">
        <v>72</v>
      </c>
      <c r="AH7">
        <v>0</v>
      </c>
      <c r="AI7" t="s">
        <v>54</v>
      </c>
      <c r="AK7" t="s">
        <v>19</v>
      </c>
      <c r="AL7">
        <v>72</v>
      </c>
      <c r="AM7">
        <v>0</v>
      </c>
      <c r="AN7" t="s">
        <v>55</v>
      </c>
      <c r="AP7" t="s">
        <v>19</v>
      </c>
      <c r="AQ7">
        <v>72</v>
      </c>
      <c r="AR7">
        <v>0</v>
      </c>
      <c r="AS7" t="s">
        <v>54</v>
      </c>
      <c r="AU7" t="s">
        <v>19</v>
      </c>
      <c r="AV7">
        <v>72</v>
      </c>
      <c r="AW7">
        <v>0</v>
      </c>
      <c r="AX7" t="s">
        <v>55</v>
      </c>
      <c r="AZ7" t="s">
        <v>19</v>
      </c>
      <c r="BA7">
        <v>168</v>
      </c>
      <c r="BB7">
        <v>0</v>
      </c>
      <c r="BC7" t="s">
        <v>54</v>
      </c>
      <c r="BE7" t="s">
        <v>19</v>
      </c>
      <c r="BF7">
        <v>168</v>
      </c>
      <c r="BG7">
        <v>0</v>
      </c>
      <c r="BH7" t="s">
        <v>55</v>
      </c>
    </row>
    <row r="8" spans="2:60" x14ac:dyDescent="0.2">
      <c r="B8" t="s">
        <v>19</v>
      </c>
      <c r="C8">
        <v>10</v>
      </c>
      <c r="D8">
        <v>0</v>
      </c>
      <c r="G8" t="s">
        <v>19</v>
      </c>
      <c r="H8">
        <v>10</v>
      </c>
      <c r="I8">
        <v>0</v>
      </c>
      <c r="J8" t="s">
        <v>55</v>
      </c>
      <c r="L8" t="s">
        <v>19</v>
      </c>
      <c r="M8">
        <v>24</v>
      </c>
      <c r="N8">
        <v>0</v>
      </c>
      <c r="O8" t="s">
        <v>54</v>
      </c>
      <c r="Q8" t="s">
        <v>19</v>
      </c>
      <c r="R8">
        <v>24</v>
      </c>
      <c r="S8">
        <v>0</v>
      </c>
      <c r="T8" t="s">
        <v>55</v>
      </c>
      <c r="V8" t="s">
        <v>19</v>
      </c>
      <c r="W8">
        <v>72</v>
      </c>
      <c r="X8">
        <v>0</v>
      </c>
      <c r="Y8" t="s">
        <v>54</v>
      </c>
      <c r="AA8" t="s">
        <v>19</v>
      </c>
      <c r="AB8">
        <v>72</v>
      </c>
      <c r="AC8">
        <v>0</v>
      </c>
      <c r="AD8" t="s">
        <v>55</v>
      </c>
      <c r="AF8" t="s">
        <v>19</v>
      </c>
      <c r="AG8">
        <v>72</v>
      </c>
      <c r="AH8">
        <v>0</v>
      </c>
      <c r="AI8" t="s">
        <v>54</v>
      </c>
      <c r="AK8" t="s">
        <v>19</v>
      </c>
      <c r="AL8">
        <v>72</v>
      </c>
      <c r="AM8">
        <v>0</v>
      </c>
      <c r="AN8" t="s">
        <v>55</v>
      </c>
      <c r="AP8" t="s">
        <v>19</v>
      </c>
      <c r="AQ8">
        <v>72</v>
      </c>
      <c r="AR8">
        <v>0</v>
      </c>
      <c r="AS8" t="s">
        <v>54</v>
      </c>
      <c r="AU8" t="s">
        <v>19</v>
      </c>
      <c r="AV8">
        <v>72</v>
      </c>
      <c r="AW8">
        <v>0</v>
      </c>
      <c r="AX8" t="s">
        <v>55</v>
      </c>
      <c r="AZ8" t="s">
        <v>19</v>
      </c>
      <c r="BA8">
        <v>168</v>
      </c>
      <c r="BB8">
        <v>0</v>
      </c>
      <c r="BC8" t="s">
        <v>54</v>
      </c>
      <c r="BE8" t="s">
        <v>19</v>
      </c>
      <c r="BF8">
        <v>168</v>
      </c>
      <c r="BG8">
        <v>0</v>
      </c>
      <c r="BH8" t="s">
        <v>55</v>
      </c>
    </row>
    <row r="9" spans="2:60" x14ac:dyDescent="0.2">
      <c r="B9" t="s">
        <v>19</v>
      </c>
      <c r="C9">
        <v>10</v>
      </c>
      <c r="D9">
        <v>0</v>
      </c>
      <c r="G9" t="s">
        <v>19</v>
      </c>
      <c r="H9">
        <v>10</v>
      </c>
      <c r="I9">
        <v>0</v>
      </c>
      <c r="J9" t="s">
        <v>55</v>
      </c>
      <c r="L9" t="s">
        <v>19</v>
      </c>
      <c r="M9">
        <v>24</v>
      </c>
      <c r="N9">
        <v>0</v>
      </c>
      <c r="O9" t="s">
        <v>54</v>
      </c>
      <c r="Q9" t="s">
        <v>19</v>
      </c>
      <c r="R9">
        <v>24</v>
      </c>
      <c r="S9">
        <v>0</v>
      </c>
      <c r="T9" t="s">
        <v>55</v>
      </c>
      <c r="V9" t="s">
        <v>19</v>
      </c>
      <c r="W9">
        <v>72</v>
      </c>
      <c r="X9">
        <v>0</v>
      </c>
      <c r="Y9" t="s">
        <v>54</v>
      </c>
      <c r="AA9" t="s">
        <v>19</v>
      </c>
      <c r="AB9">
        <v>72</v>
      </c>
      <c r="AC9">
        <v>0</v>
      </c>
      <c r="AD9" t="s">
        <v>55</v>
      </c>
      <c r="AF9" t="s">
        <v>19</v>
      </c>
      <c r="AG9">
        <v>72</v>
      </c>
      <c r="AH9">
        <v>0</v>
      </c>
      <c r="AI9" t="s">
        <v>54</v>
      </c>
      <c r="AK9" t="s">
        <v>19</v>
      </c>
      <c r="AL9">
        <v>72</v>
      </c>
      <c r="AM9">
        <v>0</v>
      </c>
      <c r="AN9" t="s">
        <v>55</v>
      </c>
      <c r="AP9" t="s">
        <v>19</v>
      </c>
      <c r="AQ9">
        <v>72</v>
      </c>
      <c r="AR9">
        <v>0</v>
      </c>
      <c r="AS9" t="s">
        <v>54</v>
      </c>
      <c r="AU9" t="s">
        <v>19</v>
      </c>
      <c r="AV9">
        <v>72</v>
      </c>
      <c r="AW9">
        <v>0</v>
      </c>
      <c r="AX9" t="s">
        <v>55</v>
      </c>
      <c r="AZ9" t="s">
        <v>19</v>
      </c>
      <c r="BA9">
        <v>168</v>
      </c>
      <c r="BB9">
        <v>0</v>
      </c>
      <c r="BC9" t="s">
        <v>54</v>
      </c>
      <c r="BE9" t="s">
        <v>19</v>
      </c>
      <c r="BF9">
        <v>168</v>
      </c>
      <c r="BG9">
        <v>0</v>
      </c>
      <c r="BH9" t="s">
        <v>55</v>
      </c>
    </row>
    <row r="10" spans="2:60" x14ac:dyDescent="0.2">
      <c r="B10" t="s">
        <v>19</v>
      </c>
      <c r="C10">
        <v>10</v>
      </c>
      <c r="D10">
        <v>0</v>
      </c>
      <c r="G10" t="s">
        <v>19</v>
      </c>
      <c r="H10">
        <v>10</v>
      </c>
      <c r="I10">
        <v>0</v>
      </c>
      <c r="J10" t="s">
        <v>55</v>
      </c>
      <c r="L10" t="s">
        <v>19</v>
      </c>
      <c r="M10">
        <v>24</v>
      </c>
      <c r="N10">
        <v>0</v>
      </c>
      <c r="O10" t="s">
        <v>54</v>
      </c>
      <c r="Q10" t="s">
        <v>19</v>
      </c>
      <c r="R10">
        <v>24</v>
      </c>
      <c r="S10">
        <v>0</v>
      </c>
      <c r="T10" t="s">
        <v>55</v>
      </c>
      <c r="V10" t="s">
        <v>19</v>
      </c>
      <c r="W10">
        <v>72</v>
      </c>
      <c r="X10">
        <v>0</v>
      </c>
      <c r="Y10" t="s">
        <v>54</v>
      </c>
      <c r="AA10" t="s">
        <v>19</v>
      </c>
      <c r="AB10">
        <v>72</v>
      </c>
      <c r="AC10">
        <v>0</v>
      </c>
      <c r="AD10" t="s">
        <v>55</v>
      </c>
      <c r="AF10" t="s">
        <v>19</v>
      </c>
      <c r="AG10">
        <v>72</v>
      </c>
      <c r="AH10">
        <v>0</v>
      </c>
      <c r="AI10" t="s">
        <v>54</v>
      </c>
      <c r="AK10" t="s">
        <v>19</v>
      </c>
      <c r="AL10">
        <v>72</v>
      </c>
      <c r="AM10">
        <v>0</v>
      </c>
      <c r="AN10" t="s">
        <v>55</v>
      </c>
      <c r="AP10" t="s">
        <v>19</v>
      </c>
      <c r="AQ10">
        <v>72</v>
      </c>
      <c r="AR10">
        <v>0</v>
      </c>
      <c r="AS10" t="s">
        <v>54</v>
      </c>
      <c r="AU10" t="s">
        <v>19</v>
      </c>
      <c r="AV10">
        <v>72</v>
      </c>
      <c r="AW10">
        <v>0</v>
      </c>
      <c r="AX10" t="s">
        <v>55</v>
      </c>
      <c r="AZ10" t="s">
        <v>19</v>
      </c>
      <c r="BA10">
        <v>168</v>
      </c>
      <c r="BB10">
        <v>0</v>
      </c>
      <c r="BC10" t="s">
        <v>54</v>
      </c>
      <c r="BE10" t="s">
        <v>19</v>
      </c>
      <c r="BF10">
        <v>168</v>
      </c>
      <c r="BG10">
        <v>0</v>
      </c>
      <c r="BH10" t="s">
        <v>55</v>
      </c>
    </row>
    <row r="11" spans="2:60" x14ac:dyDescent="0.2">
      <c r="B11" t="s">
        <v>19</v>
      </c>
      <c r="C11">
        <v>10</v>
      </c>
      <c r="D11">
        <v>0</v>
      </c>
      <c r="G11" t="s">
        <v>19</v>
      </c>
      <c r="H11">
        <v>10</v>
      </c>
      <c r="I11">
        <v>0</v>
      </c>
      <c r="J11" t="s">
        <v>55</v>
      </c>
      <c r="L11" t="s">
        <v>19</v>
      </c>
      <c r="M11">
        <v>24</v>
      </c>
      <c r="N11">
        <v>0</v>
      </c>
      <c r="O11" t="s">
        <v>54</v>
      </c>
      <c r="Q11" t="s">
        <v>19</v>
      </c>
      <c r="R11">
        <v>24</v>
      </c>
      <c r="S11">
        <v>0</v>
      </c>
      <c r="T11" t="s">
        <v>55</v>
      </c>
      <c r="V11" t="s">
        <v>19</v>
      </c>
      <c r="W11">
        <v>72</v>
      </c>
      <c r="X11">
        <v>0</v>
      </c>
      <c r="Y11" t="s">
        <v>54</v>
      </c>
      <c r="AA11" t="s">
        <v>19</v>
      </c>
      <c r="AB11">
        <v>72</v>
      </c>
      <c r="AC11">
        <v>0</v>
      </c>
      <c r="AD11" t="s">
        <v>55</v>
      </c>
      <c r="AF11" t="s">
        <v>19</v>
      </c>
      <c r="AG11">
        <v>72</v>
      </c>
      <c r="AH11">
        <v>0</v>
      </c>
      <c r="AI11" t="s">
        <v>54</v>
      </c>
      <c r="AK11" t="s">
        <v>19</v>
      </c>
      <c r="AL11">
        <v>72</v>
      </c>
      <c r="AM11">
        <v>0</v>
      </c>
      <c r="AN11" t="s">
        <v>55</v>
      </c>
      <c r="AP11" t="s">
        <v>19</v>
      </c>
      <c r="AQ11">
        <v>72</v>
      </c>
      <c r="AR11">
        <v>0</v>
      </c>
      <c r="AS11" t="s">
        <v>54</v>
      </c>
      <c r="AU11" t="s">
        <v>19</v>
      </c>
      <c r="AV11">
        <v>72</v>
      </c>
      <c r="AW11">
        <v>0</v>
      </c>
      <c r="AX11" t="s">
        <v>55</v>
      </c>
      <c r="AZ11" t="s">
        <v>19</v>
      </c>
      <c r="BA11">
        <v>168</v>
      </c>
      <c r="BB11">
        <v>0</v>
      </c>
      <c r="BC11" t="s">
        <v>54</v>
      </c>
      <c r="BE11" t="s">
        <v>19</v>
      </c>
      <c r="BF11">
        <v>168</v>
      </c>
      <c r="BG11">
        <v>0</v>
      </c>
      <c r="BH11" t="s">
        <v>55</v>
      </c>
    </row>
    <row r="12" spans="2:60" x14ac:dyDescent="0.2">
      <c r="B12" t="s">
        <v>52</v>
      </c>
      <c r="C12">
        <v>2</v>
      </c>
      <c r="D12">
        <v>1</v>
      </c>
      <c r="G12" t="s">
        <v>52</v>
      </c>
      <c r="H12">
        <v>2</v>
      </c>
      <c r="I12">
        <v>1</v>
      </c>
      <c r="J12" t="s">
        <v>55</v>
      </c>
      <c r="L12" t="s">
        <v>19</v>
      </c>
      <c r="M12">
        <v>24</v>
      </c>
      <c r="N12">
        <v>0</v>
      </c>
      <c r="O12" t="s">
        <v>54</v>
      </c>
      <c r="Q12" t="s">
        <v>19</v>
      </c>
      <c r="R12">
        <v>24</v>
      </c>
      <c r="S12">
        <v>0</v>
      </c>
      <c r="T12" t="s">
        <v>55</v>
      </c>
      <c r="V12" t="s">
        <v>21</v>
      </c>
      <c r="W12">
        <v>48</v>
      </c>
      <c r="X12">
        <v>1</v>
      </c>
      <c r="Y12" t="s">
        <v>54</v>
      </c>
      <c r="AA12" t="s">
        <v>19</v>
      </c>
      <c r="AB12">
        <v>72</v>
      </c>
      <c r="AC12">
        <v>0</v>
      </c>
      <c r="AD12" t="s">
        <v>55</v>
      </c>
      <c r="AF12" t="s">
        <v>19</v>
      </c>
      <c r="AG12">
        <v>72</v>
      </c>
      <c r="AH12">
        <v>0</v>
      </c>
      <c r="AI12" t="s">
        <v>54</v>
      </c>
      <c r="AK12" t="s">
        <v>19</v>
      </c>
      <c r="AL12">
        <v>72</v>
      </c>
      <c r="AM12">
        <v>0</v>
      </c>
      <c r="AN12" t="s">
        <v>55</v>
      </c>
      <c r="AP12" t="s">
        <v>19</v>
      </c>
      <c r="AQ12">
        <v>72</v>
      </c>
      <c r="AR12">
        <v>0</v>
      </c>
      <c r="AS12" t="s">
        <v>54</v>
      </c>
      <c r="AU12" t="s">
        <v>19</v>
      </c>
      <c r="AV12">
        <v>72</v>
      </c>
      <c r="AW12">
        <v>0</v>
      </c>
      <c r="AX12" t="s">
        <v>55</v>
      </c>
      <c r="AZ12" t="s">
        <v>19</v>
      </c>
      <c r="BA12">
        <v>168</v>
      </c>
      <c r="BB12">
        <v>0</v>
      </c>
      <c r="BC12" t="s">
        <v>54</v>
      </c>
      <c r="BE12" t="s">
        <v>59</v>
      </c>
      <c r="BF12">
        <v>24</v>
      </c>
      <c r="BG12">
        <v>1</v>
      </c>
      <c r="BH12" t="s">
        <v>55</v>
      </c>
    </row>
    <row r="13" spans="2:60" x14ac:dyDescent="0.2">
      <c r="B13" t="s">
        <v>52</v>
      </c>
      <c r="C13">
        <v>2</v>
      </c>
      <c r="D13">
        <v>1</v>
      </c>
      <c r="G13" t="s">
        <v>52</v>
      </c>
      <c r="H13">
        <v>6</v>
      </c>
      <c r="I13">
        <v>1</v>
      </c>
      <c r="J13" t="s">
        <v>55</v>
      </c>
      <c r="L13" t="s">
        <v>19</v>
      </c>
      <c r="M13">
        <v>24</v>
      </c>
      <c r="N13">
        <v>0</v>
      </c>
      <c r="O13" t="s">
        <v>54</v>
      </c>
      <c r="Q13" t="s">
        <v>19</v>
      </c>
      <c r="R13">
        <v>24</v>
      </c>
      <c r="S13">
        <v>0</v>
      </c>
      <c r="T13" t="s">
        <v>55</v>
      </c>
      <c r="V13" t="s">
        <v>21</v>
      </c>
      <c r="W13">
        <v>72</v>
      </c>
      <c r="X13">
        <v>0</v>
      </c>
      <c r="Y13" t="s">
        <v>54</v>
      </c>
      <c r="AA13" t="s">
        <v>21</v>
      </c>
      <c r="AB13">
        <v>72</v>
      </c>
      <c r="AC13">
        <v>0</v>
      </c>
      <c r="AD13" t="s">
        <v>55</v>
      </c>
      <c r="AF13" t="s">
        <v>19</v>
      </c>
      <c r="AG13">
        <v>72</v>
      </c>
      <c r="AH13">
        <v>0</v>
      </c>
      <c r="AI13" t="s">
        <v>54</v>
      </c>
      <c r="AK13" t="s">
        <v>19</v>
      </c>
      <c r="AL13">
        <v>72</v>
      </c>
      <c r="AM13">
        <v>0</v>
      </c>
      <c r="AN13" t="s">
        <v>55</v>
      </c>
      <c r="AP13" t="s">
        <v>19</v>
      </c>
      <c r="AQ13">
        <v>72</v>
      </c>
      <c r="AR13">
        <v>0</v>
      </c>
      <c r="AS13" t="s">
        <v>54</v>
      </c>
      <c r="AU13" t="s">
        <v>19</v>
      </c>
      <c r="AV13">
        <v>72</v>
      </c>
      <c r="AW13">
        <v>0</v>
      </c>
      <c r="AX13" t="s">
        <v>55</v>
      </c>
      <c r="AZ13" t="s">
        <v>19</v>
      </c>
      <c r="BA13">
        <v>168</v>
      </c>
      <c r="BB13">
        <v>0</v>
      </c>
      <c r="BC13" t="s">
        <v>54</v>
      </c>
      <c r="BE13" t="s">
        <v>59</v>
      </c>
      <c r="BF13">
        <v>24</v>
      </c>
      <c r="BG13">
        <v>1</v>
      </c>
      <c r="BH13" t="s">
        <v>55</v>
      </c>
    </row>
    <row r="14" spans="2:60" x14ac:dyDescent="0.2">
      <c r="B14" t="s">
        <v>52</v>
      </c>
      <c r="C14">
        <v>7</v>
      </c>
      <c r="D14">
        <v>1</v>
      </c>
      <c r="G14" t="s">
        <v>52</v>
      </c>
      <c r="H14">
        <v>6</v>
      </c>
      <c r="I14">
        <v>1</v>
      </c>
      <c r="J14" t="s">
        <v>55</v>
      </c>
      <c r="L14" t="s">
        <v>19</v>
      </c>
      <c r="M14">
        <v>24</v>
      </c>
      <c r="N14">
        <v>0</v>
      </c>
      <c r="O14" t="s">
        <v>54</v>
      </c>
      <c r="Q14" t="s">
        <v>19</v>
      </c>
      <c r="R14">
        <v>24</v>
      </c>
      <c r="S14">
        <v>0</v>
      </c>
      <c r="T14" t="s">
        <v>55</v>
      </c>
      <c r="V14" t="s">
        <v>21</v>
      </c>
      <c r="W14">
        <v>72</v>
      </c>
      <c r="X14">
        <v>0</v>
      </c>
      <c r="Y14" t="s">
        <v>54</v>
      </c>
      <c r="AA14" t="s">
        <v>21</v>
      </c>
      <c r="AB14">
        <v>72</v>
      </c>
      <c r="AC14">
        <v>0</v>
      </c>
      <c r="AD14" t="s">
        <v>55</v>
      </c>
      <c r="AF14" t="s">
        <v>18</v>
      </c>
      <c r="AG14">
        <v>72</v>
      </c>
      <c r="AH14">
        <v>0</v>
      </c>
      <c r="AI14" t="s">
        <v>54</v>
      </c>
      <c r="AK14" t="s">
        <v>19</v>
      </c>
      <c r="AL14">
        <v>72</v>
      </c>
      <c r="AM14">
        <v>0</v>
      </c>
      <c r="AN14" t="s">
        <v>55</v>
      </c>
      <c r="AP14" t="s">
        <v>58</v>
      </c>
      <c r="AQ14">
        <v>24</v>
      </c>
      <c r="AR14">
        <v>1</v>
      </c>
      <c r="AS14" t="s">
        <v>54</v>
      </c>
      <c r="AU14" t="s">
        <v>22</v>
      </c>
      <c r="AV14">
        <v>72</v>
      </c>
      <c r="AW14">
        <v>0</v>
      </c>
      <c r="AX14" t="s">
        <v>55</v>
      </c>
      <c r="AZ14" t="s">
        <v>19</v>
      </c>
      <c r="BA14">
        <v>168</v>
      </c>
      <c r="BB14">
        <v>0</v>
      </c>
      <c r="BC14" t="s">
        <v>54</v>
      </c>
      <c r="BE14" t="s">
        <v>59</v>
      </c>
      <c r="BF14">
        <v>72</v>
      </c>
      <c r="BG14">
        <v>1</v>
      </c>
      <c r="BH14" t="s">
        <v>55</v>
      </c>
    </row>
    <row r="15" spans="2:60" x14ac:dyDescent="0.2">
      <c r="B15" t="s">
        <v>52</v>
      </c>
      <c r="C15">
        <v>7</v>
      </c>
      <c r="D15">
        <v>1</v>
      </c>
      <c r="G15" t="s">
        <v>52</v>
      </c>
      <c r="H15">
        <v>6</v>
      </c>
      <c r="I15">
        <v>1</v>
      </c>
      <c r="J15" t="s">
        <v>55</v>
      </c>
      <c r="L15" t="s">
        <v>56</v>
      </c>
      <c r="M15">
        <v>15</v>
      </c>
      <c r="N15">
        <v>1</v>
      </c>
      <c r="O15" t="s">
        <v>54</v>
      </c>
      <c r="Q15" t="s">
        <v>19</v>
      </c>
      <c r="R15">
        <v>24</v>
      </c>
      <c r="S15">
        <v>0</v>
      </c>
      <c r="T15" t="s">
        <v>55</v>
      </c>
      <c r="V15" t="s">
        <v>21</v>
      </c>
      <c r="W15">
        <v>72</v>
      </c>
      <c r="X15">
        <v>0</v>
      </c>
      <c r="Y15" t="s">
        <v>54</v>
      </c>
      <c r="AA15" t="s">
        <v>21</v>
      </c>
      <c r="AB15">
        <v>72</v>
      </c>
      <c r="AC15">
        <v>0</v>
      </c>
      <c r="AD15" t="s">
        <v>55</v>
      </c>
      <c r="AF15" t="s">
        <v>18</v>
      </c>
      <c r="AG15">
        <v>72</v>
      </c>
      <c r="AH15">
        <v>0</v>
      </c>
      <c r="AI15" t="s">
        <v>54</v>
      </c>
      <c r="AK15" t="s">
        <v>19</v>
      </c>
      <c r="AL15">
        <v>72</v>
      </c>
      <c r="AM15">
        <v>0</v>
      </c>
      <c r="AN15" t="s">
        <v>55</v>
      </c>
      <c r="AP15" t="s">
        <v>58</v>
      </c>
      <c r="AQ15">
        <v>24</v>
      </c>
      <c r="AR15">
        <v>1</v>
      </c>
      <c r="AS15" t="s">
        <v>54</v>
      </c>
      <c r="AU15" t="s">
        <v>22</v>
      </c>
      <c r="AV15">
        <v>72</v>
      </c>
      <c r="AW15">
        <v>0</v>
      </c>
      <c r="AX15" t="s">
        <v>55</v>
      </c>
      <c r="AZ15" t="s">
        <v>19</v>
      </c>
      <c r="BA15">
        <v>168</v>
      </c>
      <c r="BB15">
        <v>0</v>
      </c>
      <c r="BC15" t="s">
        <v>54</v>
      </c>
      <c r="BE15" t="s">
        <v>59</v>
      </c>
      <c r="BF15">
        <v>72</v>
      </c>
      <c r="BG15">
        <v>1</v>
      </c>
      <c r="BH15" t="s">
        <v>55</v>
      </c>
    </row>
    <row r="16" spans="2:60" x14ac:dyDescent="0.2">
      <c r="B16" t="s">
        <v>52</v>
      </c>
      <c r="C16">
        <v>7</v>
      </c>
      <c r="D16">
        <v>1</v>
      </c>
      <c r="G16" t="s">
        <v>52</v>
      </c>
      <c r="H16">
        <v>6</v>
      </c>
      <c r="I16">
        <v>1</v>
      </c>
      <c r="J16" t="s">
        <v>55</v>
      </c>
      <c r="L16" t="s">
        <v>56</v>
      </c>
      <c r="M16">
        <v>16</v>
      </c>
      <c r="N16">
        <v>1</v>
      </c>
      <c r="O16" t="s">
        <v>54</v>
      </c>
      <c r="Q16" t="s">
        <v>19</v>
      </c>
      <c r="R16">
        <v>24</v>
      </c>
      <c r="S16">
        <v>0</v>
      </c>
      <c r="T16" t="s">
        <v>55</v>
      </c>
      <c r="V16" t="s">
        <v>21</v>
      </c>
      <c r="W16">
        <v>72</v>
      </c>
      <c r="X16">
        <v>0</v>
      </c>
      <c r="Y16" t="s">
        <v>54</v>
      </c>
      <c r="AA16" t="s">
        <v>21</v>
      </c>
      <c r="AB16">
        <v>72</v>
      </c>
      <c r="AC16">
        <v>0</v>
      </c>
      <c r="AD16" t="s">
        <v>55</v>
      </c>
      <c r="AF16" t="s">
        <v>18</v>
      </c>
      <c r="AG16">
        <v>72</v>
      </c>
      <c r="AH16">
        <v>0</v>
      </c>
      <c r="AI16" t="s">
        <v>54</v>
      </c>
      <c r="AK16" t="s">
        <v>19</v>
      </c>
      <c r="AL16">
        <v>72</v>
      </c>
      <c r="AM16">
        <v>0</v>
      </c>
      <c r="AN16" t="s">
        <v>55</v>
      </c>
      <c r="AP16" t="s">
        <v>58</v>
      </c>
      <c r="AQ16">
        <v>24</v>
      </c>
      <c r="AR16">
        <v>1</v>
      </c>
      <c r="AS16" t="s">
        <v>54</v>
      </c>
      <c r="AU16" t="s">
        <v>22</v>
      </c>
      <c r="AV16">
        <v>72</v>
      </c>
      <c r="AW16">
        <v>0</v>
      </c>
      <c r="AX16" t="s">
        <v>55</v>
      </c>
      <c r="AZ16" t="s">
        <v>19</v>
      </c>
      <c r="BA16">
        <v>168</v>
      </c>
      <c r="BB16">
        <v>0</v>
      </c>
      <c r="BC16" t="s">
        <v>54</v>
      </c>
      <c r="BE16" t="s">
        <v>59</v>
      </c>
      <c r="BF16">
        <v>96</v>
      </c>
      <c r="BG16">
        <v>1</v>
      </c>
      <c r="BH16" t="s">
        <v>55</v>
      </c>
    </row>
    <row r="17" spans="2:60" x14ac:dyDescent="0.2">
      <c r="B17" t="s">
        <v>52</v>
      </c>
      <c r="C17">
        <v>7</v>
      </c>
      <c r="D17">
        <v>1</v>
      </c>
      <c r="G17" t="s">
        <v>52</v>
      </c>
      <c r="H17">
        <v>6</v>
      </c>
      <c r="I17">
        <v>1</v>
      </c>
      <c r="J17" t="s">
        <v>55</v>
      </c>
      <c r="L17" t="s">
        <v>56</v>
      </c>
      <c r="M17">
        <v>16</v>
      </c>
      <c r="N17">
        <v>1</v>
      </c>
      <c r="O17" t="s">
        <v>54</v>
      </c>
      <c r="Q17" t="s">
        <v>57</v>
      </c>
      <c r="R17">
        <v>15</v>
      </c>
      <c r="S17">
        <v>1</v>
      </c>
      <c r="T17" t="s">
        <v>55</v>
      </c>
      <c r="V17" t="s">
        <v>21</v>
      </c>
      <c r="W17">
        <v>72</v>
      </c>
      <c r="X17">
        <v>0</v>
      </c>
      <c r="Y17" t="s">
        <v>54</v>
      </c>
      <c r="AA17" t="s">
        <v>21</v>
      </c>
      <c r="AB17">
        <v>72</v>
      </c>
      <c r="AC17">
        <v>0</v>
      </c>
      <c r="AD17" t="s">
        <v>55</v>
      </c>
      <c r="AF17" t="s">
        <v>18</v>
      </c>
      <c r="AG17">
        <v>72</v>
      </c>
      <c r="AH17">
        <v>0</v>
      </c>
      <c r="AI17" t="s">
        <v>54</v>
      </c>
      <c r="AK17" t="s">
        <v>18</v>
      </c>
      <c r="AL17">
        <v>72</v>
      </c>
      <c r="AM17">
        <v>0</v>
      </c>
      <c r="AN17" t="s">
        <v>55</v>
      </c>
      <c r="AP17" t="s">
        <v>58</v>
      </c>
      <c r="AQ17">
        <v>24</v>
      </c>
      <c r="AR17">
        <v>1</v>
      </c>
      <c r="AS17" t="s">
        <v>54</v>
      </c>
      <c r="AU17" t="s">
        <v>22</v>
      </c>
      <c r="AV17">
        <v>72</v>
      </c>
      <c r="AW17">
        <v>0</v>
      </c>
      <c r="AX17" t="s">
        <v>55</v>
      </c>
      <c r="AZ17" t="s">
        <v>19</v>
      </c>
      <c r="BA17">
        <v>168</v>
      </c>
      <c r="BB17">
        <v>0</v>
      </c>
      <c r="BC17" t="s">
        <v>54</v>
      </c>
      <c r="BE17" t="s">
        <v>59</v>
      </c>
      <c r="BF17">
        <v>96</v>
      </c>
      <c r="BG17">
        <v>1</v>
      </c>
      <c r="BH17" t="s">
        <v>55</v>
      </c>
    </row>
    <row r="18" spans="2:60" x14ac:dyDescent="0.2">
      <c r="B18" t="s">
        <v>52</v>
      </c>
      <c r="C18">
        <v>7</v>
      </c>
      <c r="D18">
        <v>1</v>
      </c>
      <c r="G18" t="s">
        <v>52</v>
      </c>
      <c r="H18">
        <v>6</v>
      </c>
      <c r="I18">
        <v>1</v>
      </c>
      <c r="J18" t="s">
        <v>55</v>
      </c>
      <c r="L18" t="s">
        <v>56</v>
      </c>
      <c r="M18">
        <v>16</v>
      </c>
      <c r="N18">
        <v>1</v>
      </c>
      <c r="O18" t="s">
        <v>54</v>
      </c>
      <c r="Q18" t="s">
        <v>57</v>
      </c>
      <c r="R18">
        <v>16</v>
      </c>
      <c r="S18">
        <v>1</v>
      </c>
      <c r="T18" t="s">
        <v>55</v>
      </c>
      <c r="V18" t="s">
        <v>21</v>
      </c>
      <c r="W18">
        <v>72</v>
      </c>
      <c r="X18">
        <v>0</v>
      </c>
      <c r="Y18" t="s">
        <v>54</v>
      </c>
      <c r="AA18" t="s">
        <v>21</v>
      </c>
      <c r="AB18">
        <v>72</v>
      </c>
      <c r="AC18">
        <v>0</v>
      </c>
      <c r="AD18" t="s">
        <v>55</v>
      </c>
      <c r="AF18" t="s">
        <v>18</v>
      </c>
      <c r="AG18">
        <v>72</v>
      </c>
      <c r="AH18">
        <v>0</v>
      </c>
      <c r="AI18" t="s">
        <v>54</v>
      </c>
      <c r="AK18" t="s">
        <v>18</v>
      </c>
      <c r="AL18">
        <v>72</v>
      </c>
      <c r="AM18">
        <v>0</v>
      </c>
      <c r="AN18" t="s">
        <v>55</v>
      </c>
      <c r="AP18" t="s">
        <v>58</v>
      </c>
      <c r="AQ18">
        <v>24</v>
      </c>
      <c r="AR18">
        <v>1</v>
      </c>
      <c r="AS18" t="s">
        <v>54</v>
      </c>
      <c r="AU18" t="s">
        <v>22</v>
      </c>
      <c r="AV18">
        <v>72</v>
      </c>
      <c r="AW18">
        <v>0</v>
      </c>
      <c r="AX18" t="s">
        <v>55</v>
      </c>
      <c r="AZ18" t="s">
        <v>19</v>
      </c>
      <c r="BA18">
        <v>168</v>
      </c>
      <c r="BB18">
        <v>0</v>
      </c>
      <c r="BC18" t="s">
        <v>54</v>
      </c>
      <c r="BE18" t="s">
        <v>59</v>
      </c>
      <c r="BF18">
        <v>96</v>
      </c>
      <c r="BG18">
        <v>1</v>
      </c>
      <c r="BH18" t="s">
        <v>55</v>
      </c>
    </row>
    <row r="19" spans="2:60" x14ac:dyDescent="0.2">
      <c r="B19" t="s">
        <v>52</v>
      </c>
      <c r="C19">
        <v>7</v>
      </c>
      <c r="D19">
        <v>1</v>
      </c>
      <c r="G19" t="s">
        <v>52</v>
      </c>
      <c r="H19">
        <v>7</v>
      </c>
      <c r="I19">
        <v>1</v>
      </c>
      <c r="J19" t="s">
        <v>55</v>
      </c>
      <c r="L19" t="s">
        <v>56</v>
      </c>
      <c r="M19">
        <v>16</v>
      </c>
      <c r="N19">
        <v>1</v>
      </c>
      <c r="O19" t="s">
        <v>54</v>
      </c>
      <c r="Q19" t="s">
        <v>57</v>
      </c>
      <c r="R19">
        <v>18</v>
      </c>
      <c r="S19">
        <v>1</v>
      </c>
      <c r="T19" t="s">
        <v>55</v>
      </c>
      <c r="V19" t="s">
        <v>21</v>
      </c>
      <c r="W19">
        <v>72</v>
      </c>
      <c r="X19">
        <v>0</v>
      </c>
      <c r="Y19" t="s">
        <v>54</v>
      </c>
      <c r="AA19" t="s">
        <v>21</v>
      </c>
      <c r="AB19">
        <v>72</v>
      </c>
      <c r="AC19">
        <v>0</v>
      </c>
      <c r="AD19" t="s">
        <v>55</v>
      </c>
      <c r="AF19" t="s">
        <v>18</v>
      </c>
      <c r="AG19">
        <v>72</v>
      </c>
      <c r="AH19">
        <v>0</v>
      </c>
      <c r="AI19" t="s">
        <v>54</v>
      </c>
      <c r="AK19" t="s">
        <v>18</v>
      </c>
      <c r="AL19">
        <v>72</v>
      </c>
      <c r="AM19">
        <v>0</v>
      </c>
      <c r="AN19" t="s">
        <v>55</v>
      </c>
      <c r="AP19" t="s">
        <v>58</v>
      </c>
      <c r="AQ19">
        <v>72</v>
      </c>
      <c r="AR19">
        <v>0</v>
      </c>
      <c r="AS19" t="s">
        <v>54</v>
      </c>
      <c r="AU19" t="s">
        <v>22</v>
      </c>
      <c r="AV19">
        <v>72</v>
      </c>
      <c r="AW19">
        <v>0</v>
      </c>
      <c r="AX19" t="s">
        <v>55</v>
      </c>
      <c r="AZ19" t="s">
        <v>19</v>
      </c>
      <c r="BA19">
        <v>168</v>
      </c>
      <c r="BB19">
        <v>0</v>
      </c>
      <c r="BC19" t="s">
        <v>54</v>
      </c>
      <c r="BE19" t="s">
        <v>59</v>
      </c>
      <c r="BF19">
        <v>96</v>
      </c>
      <c r="BG19">
        <v>1</v>
      </c>
      <c r="BH19" t="s">
        <v>55</v>
      </c>
    </row>
    <row r="20" spans="2:60" x14ac:dyDescent="0.2">
      <c r="B20" t="s">
        <v>52</v>
      </c>
      <c r="C20">
        <v>7</v>
      </c>
      <c r="D20">
        <v>1</v>
      </c>
      <c r="G20" t="s">
        <v>52</v>
      </c>
      <c r="H20">
        <v>7</v>
      </c>
      <c r="I20">
        <v>1</v>
      </c>
      <c r="J20" t="s">
        <v>55</v>
      </c>
      <c r="L20" t="s">
        <v>56</v>
      </c>
      <c r="M20">
        <v>17</v>
      </c>
      <c r="N20">
        <v>1</v>
      </c>
      <c r="O20" t="s">
        <v>54</v>
      </c>
      <c r="Q20" t="s">
        <v>57</v>
      </c>
      <c r="R20">
        <v>18</v>
      </c>
      <c r="S20">
        <v>1</v>
      </c>
      <c r="T20" t="s">
        <v>55</v>
      </c>
      <c r="V20" t="s">
        <v>21</v>
      </c>
      <c r="W20">
        <v>72</v>
      </c>
      <c r="X20">
        <v>0</v>
      </c>
      <c r="Y20" t="s">
        <v>54</v>
      </c>
      <c r="AA20" t="s">
        <v>21</v>
      </c>
      <c r="AB20">
        <v>72</v>
      </c>
      <c r="AC20">
        <v>0</v>
      </c>
      <c r="AD20" t="s">
        <v>55</v>
      </c>
      <c r="AF20" t="s">
        <v>18</v>
      </c>
      <c r="AG20">
        <v>72</v>
      </c>
      <c r="AH20">
        <v>0</v>
      </c>
      <c r="AI20" t="s">
        <v>54</v>
      </c>
      <c r="AK20" t="s">
        <v>18</v>
      </c>
      <c r="AL20">
        <v>72</v>
      </c>
      <c r="AM20">
        <v>0</v>
      </c>
      <c r="AN20" t="s">
        <v>55</v>
      </c>
      <c r="AP20" t="s">
        <v>58</v>
      </c>
      <c r="AQ20">
        <v>72</v>
      </c>
      <c r="AR20">
        <v>0</v>
      </c>
      <c r="AS20" t="s">
        <v>54</v>
      </c>
      <c r="AU20" t="s">
        <v>22</v>
      </c>
      <c r="AV20">
        <v>72</v>
      </c>
      <c r="AW20">
        <v>0</v>
      </c>
      <c r="AX20" t="s">
        <v>55</v>
      </c>
      <c r="AZ20" t="s">
        <v>19</v>
      </c>
      <c r="BA20">
        <v>168</v>
      </c>
      <c r="BB20">
        <v>0</v>
      </c>
      <c r="BC20" t="s">
        <v>54</v>
      </c>
      <c r="BE20" t="s">
        <v>59</v>
      </c>
      <c r="BF20">
        <v>96</v>
      </c>
      <c r="BG20">
        <v>1</v>
      </c>
      <c r="BH20" t="s">
        <v>55</v>
      </c>
    </row>
    <row r="21" spans="2:60" x14ac:dyDescent="0.2">
      <c r="B21" t="s">
        <v>52</v>
      </c>
      <c r="C21">
        <v>8</v>
      </c>
      <c r="D21">
        <v>1</v>
      </c>
      <c r="G21" t="s">
        <v>52</v>
      </c>
      <c r="H21">
        <v>7</v>
      </c>
      <c r="I21">
        <v>1</v>
      </c>
      <c r="J21" t="s">
        <v>55</v>
      </c>
      <c r="L21" t="s">
        <v>56</v>
      </c>
      <c r="M21">
        <v>17</v>
      </c>
      <c r="N21">
        <v>1</v>
      </c>
      <c r="O21" t="s">
        <v>54</v>
      </c>
      <c r="Q21" t="s">
        <v>57</v>
      </c>
      <c r="R21">
        <v>18</v>
      </c>
      <c r="S21">
        <v>1</v>
      </c>
      <c r="T21" t="s">
        <v>55</v>
      </c>
      <c r="V21" t="s">
        <v>21</v>
      </c>
      <c r="W21">
        <v>72</v>
      </c>
      <c r="X21">
        <v>0</v>
      </c>
      <c r="Y21" t="s">
        <v>54</v>
      </c>
      <c r="AA21" t="s">
        <v>21</v>
      </c>
      <c r="AB21">
        <v>72</v>
      </c>
      <c r="AC21">
        <v>0</v>
      </c>
      <c r="AD21" t="s">
        <v>55</v>
      </c>
      <c r="AF21" t="s">
        <v>18</v>
      </c>
      <c r="AG21">
        <v>72</v>
      </c>
      <c r="AH21">
        <v>0</v>
      </c>
      <c r="AI21" t="s">
        <v>54</v>
      </c>
      <c r="AK21" t="s">
        <v>18</v>
      </c>
      <c r="AL21">
        <v>72</v>
      </c>
      <c r="AM21">
        <v>0</v>
      </c>
      <c r="AN21" t="s">
        <v>55</v>
      </c>
      <c r="AP21" t="s">
        <v>58</v>
      </c>
      <c r="AQ21">
        <v>72</v>
      </c>
      <c r="AR21">
        <v>0</v>
      </c>
      <c r="AS21" t="s">
        <v>54</v>
      </c>
      <c r="AU21" t="s">
        <v>22</v>
      </c>
      <c r="AV21">
        <v>72</v>
      </c>
      <c r="AW21">
        <v>0</v>
      </c>
      <c r="AX21" t="s">
        <v>55</v>
      </c>
      <c r="AZ21" t="s">
        <v>19</v>
      </c>
      <c r="BA21">
        <v>168</v>
      </c>
      <c r="BB21">
        <v>0</v>
      </c>
      <c r="BC21" t="s">
        <v>54</v>
      </c>
      <c r="BE21" t="s">
        <v>59</v>
      </c>
      <c r="BF21">
        <v>96</v>
      </c>
      <c r="BG21">
        <v>1</v>
      </c>
      <c r="BH21" t="s">
        <v>55</v>
      </c>
    </row>
    <row r="22" spans="2:60" x14ac:dyDescent="0.2">
      <c r="B22" t="s">
        <v>52</v>
      </c>
      <c r="C22">
        <v>8</v>
      </c>
      <c r="D22">
        <v>1</v>
      </c>
      <c r="G22" t="s">
        <v>52</v>
      </c>
      <c r="H22">
        <v>7</v>
      </c>
      <c r="I22">
        <v>1</v>
      </c>
      <c r="J22" t="s">
        <v>55</v>
      </c>
      <c r="L22" t="s">
        <v>56</v>
      </c>
      <c r="M22">
        <v>17</v>
      </c>
      <c r="N22">
        <v>1</v>
      </c>
      <c r="O22" t="s">
        <v>54</v>
      </c>
      <c r="Q22" t="s">
        <v>57</v>
      </c>
      <c r="R22">
        <v>18</v>
      </c>
      <c r="S22">
        <v>1</v>
      </c>
      <c r="T22" t="s">
        <v>55</v>
      </c>
      <c r="V22" t="s">
        <v>21</v>
      </c>
      <c r="W22">
        <v>72</v>
      </c>
      <c r="X22">
        <v>0</v>
      </c>
      <c r="Y22" t="s">
        <v>54</v>
      </c>
      <c r="AA22" t="s">
        <v>21</v>
      </c>
      <c r="AB22">
        <v>72</v>
      </c>
      <c r="AC22">
        <v>0</v>
      </c>
      <c r="AD22" t="s">
        <v>55</v>
      </c>
      <c r="AF22" t="s">
        <v>18</v>
      </c>
      <c r="AG22">
        <v>72</v>
      </c>
      <c r="AH22">
        <v>0</v>
      </c>
      <c r="AI22" t="s">
        <v>54</v>
      </c>
      <c r="AK22" t="s">
        <v>18</v>
      </c>
      <c r="AL22">
        <v>72</v>
      </c>
      <c r="AM22">
        <v>0</v>
      </c>
      <c r="AN22" t="s">
        <v>55</v>
      </c>
      <c r="AP22" t="s">
        <v>58</v>
      </c>
      <c r="AQ22">
        <v>72</v>
      </c>
      <c r="AR22">
        <v>0</v>
      </c>
      <c r="AS22" t="s">
        <v>54</v>
      </c>
      <c r="AU22" t="s">
        <v>22</v>
      </c>
      <c r="AV22">
        <v>72</v>
      </c>
      <c r="AW22">
        <v>0</v>
      </c>
      <c r="AX22" t="s">
        <v>55</v>
      </c>
      <c r="AZ22" t="s">
        <v>19</v>
      </c>
      <c r="BA22">
        <v>168</v>
      </c>
      <c r="BB22">
        <v>0</v>
      </c>
      <c r="BC22" t="s">
        <v>54</v>
      </c>
      <c r="BE22" t="s">
        <v>59</v>
      </c>
      <c r="BF22">
        <v>96</v>
      </c>
      <c r="BG22">
        <v>1</v>
      </c>
      <c r="BH22" t="s">
        <v>55</v>
      </c>
    </row>
    <row r="23" spans="2:60" x14ac:dyDescent="0.2">
      <c r="B23" t="s">
        <v>52</v>
      </c>
      <c r="C23">
        <v>8</v>
      </c>
      <c r="D23">
        <v>1</v>
      </c>
      <c r="G23" t="s">
        <v>52</v>
      </c>
      <c r="H23">
        <v>7</v>
      </c>
      <c r="I23">
        <v>1</v>
      </c>
      <c r="J23" t="s">
        <v>55</v>
      </c>
      <c r="L23" t="s">
        <v>56</v>
      </c>
      <c r="M23">
        <v>13</v>
      </c>
      <c r="N23">
        <v>1</v>
      </c>
      <c r="O23" t="s">
        <v>54</v>
      </c>
      <c r="Q23" t="s">
        <v>57</v>
      </c>
      <c r="R23">
        <v>18</v>
      </c>
      <c r="S23">
        <v>1</v>
      </c>
      <c r="T23" t="s">
        <v>55</v>
      </c>
      <c r="V23" t="s">
        <v>21</v>
      </c>
      <c r="W23">
        <v>72</v>
      </c>
      <c r="X23">
        <v>0</v>
      </c>
      <c r="Y23" t="s">
        <v>54</v>
      </c>
      <c r="AA23" t="s">
        <v>21</v>
      </c>
      <c r="AB23">
        <v>72</v>
      </c>
      <c r="AC23">
        <v>0</v>
      </c>
      <c r="AD23" t="s">
        <v>55</v>
      </c>
      <c r="AF23" t="s">
        <v>18</v>
      </c>
      <c r="AG23">
        <v>72</v>
      </c>
      <c r="AH23">
        <v>0</v>
      </c>
      <c r="AI23" t="s">
        <v>54</v>
      </c>
      <c r="AK23" t="s">
        <v>18</v>
      </c>
      <c r="AL23">
        <v>72</v>
      </c>
      <c r="AM23">
        <v>0</v>
      </c>
      <c r="AN23" t="s">
        <v>55</v>
      </c>
      <c r="AP23" t="s">
        <v>58</v>
      </c>
      <c r="AQ23">
        <v>72</v>
      </c>
      <c r="AR23">
        <v>0</v>
      </c>
      <c r="AS23" t="s">
        <v>54</v>
      </c>
      <c r="AU23" t="s">
        <v>22</v>
      </c>
      <c r="AV23">
        <v>72</v>
      </c>
      <c r="AW23">
        <v>0</v>
      </c>
      <c r="AX23" t="s">
        <v>55</v>
      </c>
      <c r="AZ23" t="s">
        <v>19</v>
      </c>
      <c r="BA23">
        <v>168</v>
      </c>
      <c r="BB23">
        <v>0</v>
      </c>
      <c r="BC23" t="s">
        <v>54</v>
      </c>
      <c r="BE23" t="s">
        <v>59</v>
      </c>
      <c r="BF23">
        <v>96</v>
      </c>
      <c r="BG23">
        <v>1</v>
      </c>
      <c r="BH23" t="s">
        <v>55</v>
      </c>
    </row>
    <row r="24" spans="2:60" x14ac:dyDescent="0.2">
      <c r="B24" t="s">
        <v>52</v>
      </c>
      <c r="C24">
        <v>8</v>
      </c>
      <c r="D24">
        <v>1</v>
      </c>
      <c r="G24" t="s">
        <v>52</v>
      </c>
      <c r="H24">
        <v>7</v>
      </c>
      <c r="I24">
        <v>1</v>
      </c>
      <c r="J24" t="s">
        <v>55</v>
      </c>
      <c r="L24" t="s">
        <v>56</v>
      </c>
      <c r="M24">
        <v>13</v>
      </c>
      <c r="N24">
        <v>1</v>
      </c>
      <c r="O24" t="s">
        <v>54</v>
      </c>
      <c r="Q24" t="s">
        <v>57</v>
      </c>
      <c r="R24">
        <v>19</v>
      </c>
      <c r="S24">
        <v>1</v>
      </c>
      <c r="T24" t="s">
        <v>55</v>
      </c>
      <c r="V24" t="s">
        <v>21</v>
      </c>
      <c r="W24">
        <v>72</v>
      </c>
      <c r="X24">
        <v>0</v>
      </c>
      <c r="Y24" t="s">
        <v>54</v>
      </c>
      <c r="AA24" t="s">
        <v>21</v>
      </c>
      <c r="AB24">
        <v>72</v>
      </c>
      <c r="AC24">
        <v>0</v>
      </c>
      <c r="AD24" t="s">
        <v>55</v>
      </c>
      <c r="AF24" t="s">
        <v>18</v>
      </c>
      <c r="AG24">
        <v>72</v>
      </c>
      <c r="AH24">
        <v>0</v>
      </c>
      <c r="AI24" t="s">
        <v>54</v>
      </c>
      <c r="AK24" t="s">
        <v>18</v>
      </c>
      <c r="AL24">
        <v>72</v>
      </c>
      <c r="AM24">
        <v>0</v>
      </c>
      <c r="AN24" t="s">
        <v>55</v>
      </c>
      <c r="AP24" t="s">
        <v>58</v>
      </c>
      <c r="AQ24">
        <v>72</v>
      </c>
      <c r="AR24">
        <v>0</v>
      </c>
      <c r="AS24" t="s">
        <v>54</v>
      </c>
      <c r="AU24" t="s">
        <v>22</v>
      </c>
      <c r="AV24">
        <v>72</v>
      </c>
      <c r="AW24">
        <v>0</v>
      </c>
      <c r="AX24" t="s">
        <v>55</v>
      </c>
      <c r="AZ24" t="s">
        <v>19</v>
      </c>
      <c r="BA24">
        <v>168</v>
      </c>
      <c r="BB24">
        <v>0</v>
      </c>
      <c r="BC24" t="s">
        <v>54</v>
      </c>
      <c r="BE24" t="s">
        <v>59</v>
      </c>
      <c r="BF24">
        <v>96</v>
      </c>
      <c r="BG24">
        <v>1</v>
      </c>
      <c r="BH24" t="s">
        <v>55</v>
      </c>
    </row>
    <row r="25" spans="2:60" x14ac:dyDescent="0.2">
      <c r="B25" t="s">
        <v>52</v>
      </c>
      <c r="C25">
        <v>8</v>
      </c>
      <c r="D25">
        <v>1</v>
      </c>
      <c r="G25" t="s">
        <v>52</v>
      </c>
      <c r="H25">
        <v>7</v>
      </c>
      <c r="I25">
        <v>1</v>
      </c>
      <c r="J25" t="s">
        <v>55</v>
      </c>
      <c r="L25" t="s">
        <v>56</v>
      </c>
      <c r="M25">
        <v>14</v>
      </c>
      <c r="N25">
        <v>1</v>
      </c>
      <c r="O25" t="s">
        <v>54</v>
      </c>
      <c r="Q25" t="s">
        <v>57</v>
      </c>
      <c r="R25">
        <v>19</v>
      </c>
      <c r="S25">
        <v>1</v>
      </c>
      <c r="T25" t="s">
        <v>55</v>
      </c>
      <c r="V25" t="s">
        <v>21</v>
      </c>
      <c r="W25">
        <v>72</v>
      </c>
      <c r="X25">
        <v>0</v>
      </c>
      <c r="Y25" t="s">
        <v>54</v>
      </c>
      <c r="AA25" t="s">
        <v>21</v>
      </c>
      <c r="AB25">
        <v>72</v>
      </c>
      <c r="AC25">
        <v>0</v>
      </c>
      <c r="AD25" t="s">
        <v>55</v>
      </c>
      <c r="AF25" t="s">
        <v>18</v>
      </c>
      <c r="AG25">
        <v>72</v>
      </c>
      <c r="AH25">
        <v>0</v>
      </c>
      <c r="AI25" t="s">
        <v>54</v>
      </c>
      <c r="AK25" t="s">
        <v>18</v>
      </c>
      <c r="AL25">
        <v>72</v>
      </c>
      <c r="AM25">
        <v>0</v>
      </c>
      <c r="AN25" t="s">
        <v>55</v>
      </c>
      <c r="AP25" t="s">
        <v>58</v>
      </c>
      <c r="AQ25">
        <v>72</v>
      </c>
      <c r="AR25">
        <v>0</v>
      </c>
      <c r="AS25" t="s">
        <v>54</v>
      </c>
      <c r="AU25" t="s">
        <v>22</v>
      </c>
      <c r="AV25">
        <v>72</v>
      </c>
      <c r="AW25">
        <v>0</v>
      </c>
      <c r="AX25" t="s">
        <v>55</v>
      </c>
      <c r="AZ25" t="s">
        <v>19</v>
      </c>
      <c r="BA25">
        <v>168</v>
      </c>
      <c r="BB25">
        <v>0</v>
      </c>
      <c r="BC25" t="s">
        <v>54</v>
      </c>
      <c r="BE25" t="s">
        <v>59</v>
      </c>
      <c r="BF25">
        <v>120</v>
      </c>
      <c r="BG25">
        <v>1</v>
      </c>
      <c r="BH25" t="s">
        <v>55</v>
      </c>
    </row>
    <row r="26" spans="2:60" x14ac:dyDescent="0.2">
      <c r="B26" t="s">
        <v>52</v>
      </c>
      <c r="C26">
        <v>8</v>
      </c>
      <c r="D26">
        <v>1</v>
      </c>
      <c r="G26" t="s">
        <v>52</v>
      </c>
      <c r="H26">
        <v>7</v>
      </c>
      <c r="I26">
        <v>1</v>
      </c>
      <c r="J26" t="s">
        <v>55</v>
      </c>
      <c r="L26" t="s">
        <v>56</v>
      </c>
      <c r="M26">
        <v>14</v>
      </c>
      <c r="N26">
        <v>1</v>
      </c>
      <c r="O26" t="s">
        <v>54</v>
      </c>
      <c r="Q26" t="s">
        <v>57</v>
      </c>
      <c r="R26">
        <v>20</v>
      </c>
      <c r="S26">
        <v>1</v>
      </c>
      <c r="T26" t="s">
        <v>55</v>
      </c>
      <c r="V26" t="s">
        <v>21</v>
      </c>
      <c r="W26">
        <v>72</v>
      </c>
      <c r="X26">
        <v>0</v>
      </c>
      <c r="Y26" t="s">
        <v>54</v>
      </c>
      <c r="AA26" t="s">
        <v>21</v>
      </c>
      <c r="AB26">
        <v>72</v>
      </c>
      <c r="AC26">
        <v>0</v>
      </c>
      <c r="AD26" t="s">
        <v>55</v>
      </c>
      <c r="AF26" t="s">
        <v>18</v>
      </c>
      <c r="AG26">
        <v>72</v>
      </c>
      <c r="AH26">
        <v>0</v>
      </c>
      <c r="AI26" t="s">
        <v>54</v>
      </c>
      <c r="AK26" t="s">
        <v>18</v>
      </c>
      <c r="AL26">
        <v>72</v>
      </c>
      <c r="AM26">
        <v>0</v>
      </c>
      <c r="AN26" t="s">
        <v>55</v>
      </c>
      <c r="AP26" t="s">
        <v>58</v>
      </c>
      <c r="AQ26">
        <v>72</v>
      </c>
      <c r="AR26">
        <v>0</v>
      </c>
      <c r="AS26" t="s">
        <v>54</v>
      </c>
      <c r="AU26" t="s">
        <v>22</v>
      </c>
      <c r="AV26">
        <v>72</v>
      </c>
      <c r="AW26">
        <v>0</v>
      </c>
      <c r="AX26" t="s">
        <v>55</v>
      </c>
      <c r="AZ26" t="s">
        <v>19</v>
      </c>
      <c r="BA26">
        <v>168</v>
      </c>
      <c r="BB26">
        <v>0</v>
      </c>
      <c r="BC26" t="s">
        <v>54</v>
      </c>
      <c r="BE26" t="s">
        <v>59</v>
      </c>
      <c r="BF26">
        <v>120</v>
      </c>
      <c r="BG26">
        <v>1</v>
      </c>
      <c r="BH26" t="s">
        <v>55</v>
      </c>
    </row>
    <row r="27" spans="2:60" x14ac:dyDescent="0.2">
      <c r="B27" t="s">
        <v>52</v>
      </c>
      <c r="C27">
        <v>8</v>
      </c>
      <c r="D27">
        <v>1</v>
      </c>
      <c r="G27" t="s">
        <v>52</v>
      </c>
      <c r="H27">
        <v>8</v>
      </c>
      <c r="I27">
        <v>1</v>
      </c>
      <c r="J27" t="s">
        <v>55</v>
      </c>
      <c r="L27" t="s">
        <v>56</v>
      </c>
      <c r="M27">
        <v>14</v>
      </c>
      <c r="N27">
        <v>1</v>
      </c>
      <c r="O27" t="s">
        <v>54</v>
      </c>
      <c r="Q27" t="s">
        <v>57</v>
      </c>
      <c r="R27">
        <v>20</v>
      </c>
      <c r="S27">
        <v>1</v>
      </c>
      <c r="T27" t="s">
        <v>55</v>
      </c>
      <c r="V27" t="s">
        <v>21</v>
      </c>
      <c r="W27">
        <v>72</v>
      </c>
      <c r="X27">
        <v>0</v>
      </c>
      <c r="Y27" t="s">
        <v>54</v>
      </c>
      <c r="AA27" t="s">
        <v>21</v>
      </c>
      <c r="AB27">
        <v>72</v>
      </c>
      <c r="AC27">
        <v>0</v>
      </c>
      <c r="AD27" t="s">
        <v>55</v>
      </c>
      <c r="AF27" t="s">
        <v>18</v>
      </c>
      <c r="AG27">
        <v>72</v>
      </c>
      <c r="AH27">
        <v>0</v>
      </c>
      <c r="AI27" t="s">
        <v>54</v>
      </c>
      <c r="AK27" t="s">
        <v>18</v>
      </c>
      <c r="AL27">
        <v>72</v>
      </c>
      <c r="AM27">
        <v>0</v>
      </c>
      <c r="AN27" t="s">
        <v>55</v>
      </c>
      <c r="AP27" t="s">
        <v>58</v>
      </c>
      <c r="AQ27">
        <v>72</v>
      </c>
      <c r="AR27">
        <v>0</v>
      </c>
      <c r="AS27" t="s">
        <v>54</v>
      </c>
      <c r="AU27" t="s">
        <v>22</v>
      </c>
      <c r="AV27">
        <v>72</v>
      </c>
      <c r="AW27">
        <v>0</v>
      </c>
      <c r="AX27" t="s">
        <v>55</v>
      </c>
      <c r="AZ27" t="s">
        <v>59</v>
      </c>
      <c r="BA27">
        <v>24</v>
      </c>
      <c r="BB27">
        <v>1</v>
      </c>
      <c r="BC27" t="s">
        <v>54</v>
      </c>
      <c r="BE27" t="s">
        <v>59</v>
      </c>
      <c r="BF27">
        <v>120</v>
      </c>
      <c r="BG27">
        <v>1</v>
      </c>
      <c r="BH27" t="s">
        <v>55</v>
      </c>
    </row>
    <row r="28" spans="2:60" x14ac:dyDescent="0.2">
      <c r="B28" t="s">
        <v>52</v>
      </c>
      <c r="C28">
        <v>8</v>
      </c>
      <c r="D28">
        <v>1</v>
      </c>
      <c r="G28" t="s">
        <v>52</v>
      </c>
      <c r="H28">
        <v>8</v>
      </c>
      <c r="I28">
        <v>1</v>
      </c>
      <c r="J28" t="s">
        <v>55</v>
      </c>
      <c r="L28" t="s">
        <v>56</v>
      </c>
      <c r="M28">
        <v>15</v>
      </c>
      <c r="N28">
        <v>1</v>
      </c>
      <c r="O28" t="s">
        <v>54</v>
      </c>
      <c r="Q28" t="s">
        <v>57</v>
      </c>
      <c r="R28">
        <v>20</v>
      </c>
      <c r="S28">
        <v>1</v>
      </c>
      <c r="T28" t="s">
        <v>55</v>
      </c>
      <c r="V28" t="s">
        <v>21</v>
      </c>
      <c r="W28">
        <v>72</v>
      </c>
      <c r="X28">
        <v>0</v>
      </c>
      <c r="Y28" t="s">
        <v>54</v>
      </c>
      <c r="AA28" t="s">
        <v>21</v>
      </c>
      <c r="AB28">
        <v>72</v>
      </c>
      <c r="AC28">
        <v>0</v>
      </c>
      <c r="AD28" t="s">
        <v>55</v>
      </c>
      <c r="AF28" t="s">
        <v>18</v>
      </c>
      <c r="AG28">
        <v>72</v>
      </c>
      <c r="AH28">
        <v>0</v>
      </c>
      <c r="AI28" t="s">
        <v>54</v>
      </c>
      <c r="AK28" t="s">
        <v>18</v>
      </c>
      <c r="AL28">
        <v>72</v>
      </c>
      <c r="AM28">
        <v>0</v>
      </c>
      <c r="AN28" t="s">
        <v>55</v>
      </c>
      <c r="AP28" t="s">
        <v>58</v>
      </c>
      <c r="AQ28">
        <v>72</v>
      </c>
      <c r="AR28">
        <v>0</v>
      </c>
      <c r="AS28" t="s">
        <v>54</v>
      </c>
      <c r="AU28" t="s">
        <v>22</v>
      </c>
      <c r="AV28">
        <v>72</v>
      </c>
      <c r="AW28">
        <v>0</v>
      </c>
      <c r="AX28" t="s">
        <v>55</v>
      </c>
      <c r="AZ28" t="s">
        <v>59</v>
      </c>
      <c r="BA28">
        <v>72</v>
      </c>
      <c r="BB28">
        <v>1</v>
      </c>
      <c r="BC28" t="s">
        <v>54</v>
      </c>
      <c r="BE28" t="s">
        <v>59</v>
      </c>
      <c r="BF28">
        <v>120</v>
      </c>
      <c r="BG28">
        <v>1</v>
      </c>
      <c r="BH28" t="s">
        <v>55</v>
      </c>
    </row>
    <row r="29" spans="2:60" x14ac:dyDescent="0.2">
      <c r="B29" t="s">
        <v>52</v>
      </c>
      <c r="C29">
        <v>8</v>
      </c>
      <c r="D29">
        <v>1</v>
      </c>
      <c r="G29" t="s">
        <v>52</v>
      </c>
      <c r="H29">
        <v>8</v>
      </c>
      <c r="I29">
        <v>1</v>
      </c>
      <c r="J29" t="s">
        <v>55</v>
      </c>
      <c r="L29" t="s">
        <v>56</v>
      </c>
      <c r="M29">
        <v>15</v>
      </c>
      <c r="N29">
        <v>1</v>
      </c>
      <c r="O29" t="s">
        <v>54</v>
      </c>
      <c r="Q29" t="s">
        <v>57</v>
      </c>
      <c r="R29">
        <v>20</v>
      </c>
      <c r="S29">
        <v>1</v>
      </c>
      <c r="T29" t="s">
        <v>55</v>
      </c>
      <c r="V29" t="s">
        <v>21</v>
      </c>
      <c r="W29">
        <v>72</v>
      </c>
      <c r="X29">
        <v>0</v>
      </c>
      <c r="Y29" t="s">
        <v>54</v>
      </c>
      <c r="AA29" t="s">
        <v>21</v>
      </c>
      <c r="AB29">
        <v>72</v>
      </c>
      <c r="AC29">
        <v>0</v>
      </c>
      <c r="AD29" t="s">
        <v>55</v>
      </c>
      <c r="AF29" t="s">
        <v>18</v>
      </c>
      <c r="AG29">
        <v>72</v>
      </c>
      <c r="AH29">
        <v>0</v>
      </c>
      <c r="AI29" t="s">
        <v>54</v>
      </c>
      <c r="AK29" t="s">
        <v>18</v>
      </c>
      <c r="AL29">
        <v>72</v>
      </c>
      <c r="AM29">
        <v>0</v>
      </c>
      <c r="AN29" t="s">
        <v>55</v>
      </c>
      <c r="AP29" t="s">
        <v>58</v>
      </c>
      <c r="AQ29">
        <v>72</v>
      </c>
      <c r="AR29">
        <v>0</v>
      </c>
      <c r="AS29" t="s">
        <v>54</v>
      </c>
      <c r="AU29" t="s">
        <v>22</v>
      </c>
      <c r="AV29">
        <v>72</v>
      </c>
      <c r="AW29">
        <v>0</v>
      </c>
      <c r="AX29" t="s">
        <v>55</v>
      </c>
      <c r="AZ29" t="s">
        <v>59</v>
      </c>
      <c r="BA29">
        <v>72</v>
      </c>
      <c r="BB29">
        <v>1</v>
      </c>
      <c r="BC29" t="s">
        <v>54</v>
      </c>
      <c r="BE29" t="s">
        <v>59</v>
      </c>
      <c r="BF29">
        <v>120</v>
      </c>
      <c r="BG29">
        <v>1</v>
      </c>
      <c r="BH29" t="s">
        <v>55</v>
      </c>
    </row>
    <row r="30" spans="2:60" x14ac:dyDescent="0.2">
      <c r="B30" t="s">
        <v>52</v>
      </c>
      <c r="C30">
        <v>8</v>
      </c>
      <c r="D30">
        <v>1</v>
      </c>
      <c r="G30" t="s">
        <v>52</v>
      </c>
      <c r="H30">
        <v>9</v>
      </c>
      <c r="I30">
        <v>1</v>
      </c>
      <c r="J30" t="s">
        <v>55</v>
      </c>
      <c r="L30" t="s">
        <v>56</v>
      </c>
      <c r="M30">
        <v>15</v>
      </c>
      <c r="N30">
        <v>1</v>
      </c>
      <c r="O30" t="s">
        <v>54</v>
      </c>
      <c r="Q30" t="s">
        <v>57</v>
      </c>
      <c r="R30">
        <v>20</v>
      </c>
      <c r="S30">
        <v>1</v>
      </c>
      <c r="T30" t="s">
        <v>55</v>
      </c>
      <c r="V30" t="s">
        <v>21</v>
      </c>
      <c r="W30">
        <v>72</v>
      </c>
      <c r="X30">
        <v>0</v>
      </c>
      <c r="Y30" t="s">
        <v>54</v>
      </c>
      <c r="AA30" t="s">
        <v>21</v>
      </c>
      <c r="AB30">
        <v>72</v>
      </c>
      <c r="AC30">
        <v>0</v>
      </c>
      <c r="AD30" t="s">
        <v>55</v>
      </c>
      <c r="AF30" t="s">
        <v>18</v>
      </c>
      <c r="AG30">
        <v>72</v>
      </c>
      <c r="AH30">
        <v>0</v>
      </c>
      <c r="AI30" t="s">
        <v>54</v>
      </c>
      <c r="AK30" t="s">
        <v>18</v>
      </c>
      <c r="AL30">
        <v>72</v>
      </c>
      <c r="AM30">
        <v>0</v>
      </c>
      <c r="AN30" t="s">
        <v>55</v>
      </c>
      <c r="AP30" t="s">
        <v>58</v>
      </c>
      <c r="AQ30">
        <v>72</v>
      </c>
      <c r="AR30">
        <v>0</v>
      </c>
      <c r="AS30" t="s">
        <v>54</v>
      </c>
      <c r="AU30" t="s">
        <v>22</v>
      </c>
      <c r="AV30">
        <v>72</v>
      </c>
      <c r="AW30">
        <v>0</v>
      </c>
      <c r="AX30" t="s">
        <v>55</v>
      </c>
      <c r="AZ30" t="s">
        <v>59</v>
      </c>
      <c r="BA30">
        <v>72</v>
      </c>
      <c r="BB30">
        <v>1</v>
      </c>
      <c r="BC30" t="s">
        <v>54</v>
      </c>
      <c r="BE30" t="s">
        <v>59</v>
      </c>
      <c r="BF30">
        <v>120</v>
      </c>
      <c r="BG30">
        <v>1</v>
      </c>
      <c r="BH30" t="s">
        <v>55</v>
      </c>
    </row>
    <row r="31" spans="2:60" x14ac:dyDescent="0.2">
      <c r="B31" t="s">
        <v>52</v>
      </c>
      <c r="C31">
        <v>8</v>
      </c>
      <c r="D31">
        <v>1</v>
      </c>
      <c r="G31" t="s">
        <v>52</v>
      </c>
      <c r="H31">
        <v>9</v>
      </c>
      <c r="I31">
        <v>1</v>
      </c>
      <c r="J31" t="s">
        <v>55</v>
      </c>
      <c r="L31" t="s">
        <v>56</v>
      </c>
      <c r="M31">
        <v>15</v>
      </c>
      <c r="N31">
        <v>1</v>
      </c>
      <c r="O31" t="s">
        <v>54</v>
      </c>
      <c r="Q31" t="s">
        <v>57</v>
      </c>
      <c r="R31">
        <v>21</v>
      </c>
      <c r="S31">
        <v>1</v>
      </c>
      <c r="T31" t="s">
        <v>55</v>
      </c>
      <c r="V31" t="s">
        <v>21</v>
      </c>
      <c r="W31">
        <v>72</v>
      </c>
      <c r="X31">
        <v>0</v>
      </c>
      <c r="Y31" t="s">
        <v>54</v>
      </c>
      <c r="AA31" t="s">
        <v>21</v>
      </c>
      <c r="AB31">
        <v>72</v>
      </c>
      <c r="AC31">
        <v>0</v>
      </c>
      <c r="AD31" t="s">
        <v>55</v>
      </c>
      <c r="AF31" t="s">
        <v>18</v>
      </c>
      <c r="AG31">
        <v>72</v>
      </c>
      <c r="AH31">
        <v>0</v>
      </c>
      <c r="AI31" t="s">
        <v>54</v>
      </c>
      <c r="AK31" t="s">
        <v>18</v>
      </c>
      <c r="AL31">
        <v>72</v>
      </c>
      <c r="AM31">
        <v>0</v>
      </c>
      <c r="AN31" t="s">
        <v>55</v>
      </c>
      <c r="AP31" t="s">
        <v>58</v>
      </c>
      <c r="AQ31">
        <v>72</v>
      </c>
      <c r="AR31">
        <v>0</v>
      </c>
      <c r="AS31" t="s">
        <v>54</v>
      </c>
      <c r="AU31" t="s">
        <v>22</v>
      </c>
      <c r="AV31">
        <v>72</v>
      </c>
      <c r="AW31">
        <v>0</v>
      </c>
      <c r="AX31" t="s">
        <v>55</v>
      </c>
      <c r="AZ31" t="s">
        <v>59</v>
      </c>
      <c r="BA31">
        <v>72</v>
      </c>
      <c r="BB31">
        <v>1</v>
      </c>
      <c r="BC31" t="s">
        <v>54</v>
      </c>
      <c r="BE31" t="s">
        <v>59</v>
      </c>
      <c r="BF31">
        <v>120</v>
      </c>
      <c r="BG31">
        <v>1</v>
      </c>
      <c r="BH31" t="s">
        <v>55</v>
      </c>
    </row>
    <row r="32" spans="2:60" x14ac:dyDescent="0.2">
      <c r="B32" t="s">
        <v>52</v>
      </c>
      <c r="C32">
        <v>8</v>
      </c>
      <c r="D32">
        <v>1</v>
      </c>
      <c r="L32" t="s">
        <v>56</v>
      </c>
      <c r="M32">
        <v>15</v>
      </c>
      <c r="N32">
        <v>1</v>
      </c>
      <c r="O32" t="s">
        <v>54</v>
      </c>
      <c r="Q32" t="s">
        <v>57</v>
      </c>
      <c r="R32">
        <v>21</v>
      </c>
      <c r="S32">
        <v>1</v>
      </c>
      <c r="T32" t="s">
        <v>55</v>
      </c>
      <c r="V32" t="s">
        <v>21</v>
      </c>
      <c r="W32">
        <v>72</v>
      </c>
      <c r="X32">
        <v>0</v>
      </c>
      <c r="Y32" t="s">
        <v>54</v>
      </c>
      <c r="AA32" t="s">
        <v>21</v>
      </c>
      <c r="AB32">
        <v>72</v>
      </c>
      <c r="AC32">
        <v>0</v>
      </c>
      <c r="AD32" t="s">
        <v>55</v>
      </c>
      <c r="AF32" t="s">
        <v>18</v>
      </c>
      <c r="AG32">
        <v>72</v>
      </c>
      <c r="AH32">
        <v>0</v>
      </c>
      <c r="AI32" t="s">
        <v>54</v>
      </c>
      <c r="AK32" t="s">
        <v>18</v>
      </c>
      <c r="AL32">
        <v>72</v>
      </c>
      <c r="AM32">
        <v>0</v>
      </c>
      <c r="AN32" t="s">
        <v>55</v>
      </c>
      <c r="AP32" t="s">
        <v>58</v>
      </c>
      <c r="AQ32">
        <v>72</v>
      </c>
      <c r="AR32">
        <v>0</v>
      </c>
      <c r="AS32" t="s">
        <v>54</v>
      </c>
      <c r="AU32" t="s">
        <v>22</v>
      </c>
      <c r="AV32">
        <v>72</v>
      </c>
      <c r="AW32">
        <v>0</v>
      </c>
      <c r="AX32" t="s">
        <v>55</v>
      </c>
      <c r="AZ32" t="s">
        <v>59</v>
      </c>
      <c r="BA32">
        <v>72</v>
      </c>
      <c r="BB32">
        <v>1</v>
      </c>
      <c r="BC32" t="s">
        <v>54</v>
      </c>
      <c r="BE32" t="s">
        <v>59</v>
      </c>
      <c r="BF32">
        <v>120</v>
      </c>
      <c r="BG32">
        <v>1</v>
      </c>
      <c r="BH32" t="s">
        <v>55</v>
      </c>
    </row>
    <row r="33" spans="2:60" x14ac:dyDescent="0.2">
      <c r="B33" t="s">
        <v>52</v>
      </c>
      <c r="C33">
        <v>9</v>
      </c>
      <c r="D33">
        <v>1</v>
      </c>
      <c r="L33" t="s">
        <v>56</v>
      </c>
      <c r="M33">
        <v>17</v>
      </c>
      <c r="N33">
        <v>1</v>
      </c>
      <c r="O33" t="s">
        <v>54</v>
      </c>
      <c r="Q33" t="s">
        <v>57</v>
      </c>
      <c r="R33">
        <v>21</v>
      </c>
      <c r="S33">
        <v>1</v>
      </c>
      <c r="T33" t="s">
        <v>55</v>
      </c>
      <c r="V33" t="s">
        <v>21</v>
      </c>
      <c r="W33">
        <v>72</v>
      </c>
      <c r="X33">
        <v>0</v>
      </c>
      <c r="Y33" t="s">
        <v>54</v>
      </c>
      <c r="AA33" t="s">
        <v>21</v>
      </c>
      <c r="AB33">
        <v>72</v>
      </c>
      <c r="AC33">
        <v>0</v>
      </c>
      <c r="AD33" t="s">
        <v>55</v>
      </c>
      <c r="AF33" t="s">
        <v>18</v>
      </c>
      <c r="AG33">
        <v>72</v>
      </c>
      <c r="AH33">
        <v>0</v>
      </c>
      <c r="AI33" t="s">
        <v>54</v>
      </c>
      <c r="AK33" t="s">
        <v>18</v>
      </c>
      <c r="AL33">
        <v>72</v>
      </c>
      <c r="AM33">
        <v>0</v>
      </c>
      <c r="AN33" t="s">
        <v>55</v>
      </c>
      <c r="AP33" t="s">
        <v>58</v>
      </c>
      <c r="AQ33">
        <v>72</v>
      </c>
      <c r="AR33">
        <v>0</v>
      </c>
      <c r="AS33" t="s">
        <v>54</v>
      </c>
      <c r="AU33" t="s">
        <v>22</v>
      </c>
      <c r="AV33">
        <v>72</v>
      </c>
      <c r="AW33">
        <v>0</v>
      </c>
      <c r="AX33" t="s">
        <v>55</v>
      </c>
      <c r="AZ33" t="s">
        <v>59</v>
      </c>
      <c r="BA33">
        <v>72</v>
      </c>
      <c r="BB33">
        <v>1</v>
      </c>
      <c r="BC33" t="s">
        <v>54</v>
      </c>
      <c r="BE33" t="s">
        <v>59</v>
      </c>
      <c r="BF33">
        <v>120</v>
      </c>
      <c r="BG33">
        <v>1</v>
      </c>
      <c r="BH33" t="s">
        <v>55</v>
      </c>
    </row>
    <row r="34" spans="2:60" x14ac:dyDescent="0.2">
      <c r="B34" t="s">
        <v>52</v>
      </c>
      <c r="C34">
        <v>9</v>
      </c>
      <c r="D34">
        <v>1</v>
      </c>
      <c r="L34" t="s">
        <v>56</v>
      </c>
      <c r="M34">
        <v>17</v>
      </c>
      <c r="N34">
        <v>1</v>
      </c>
      <c r="O34" t="s">
        <v>54</v>
      </c>
      <c r="Q34" t="s">
        <v>57</v>
      </c>
      <c r="R34">
        <v>22</v>
      </c>
      <c r="S34">
        <v>1</v>
      </c>
      <c r="T34" t="s">
        <v>55</v>
      </c>
      <c r="V34" t="s">
        <v>21</v>
      </c>
      <c r="W34">
        <v>72</v>
      </c>
      <c r="X34">
        <v>0</v>
      </c>
      <c r="Y34" t="s">
        <v>54</v>
      </c>
      <c r="AA34" t="s">
        <v>21</v>
      </c>
      <c r="AB34">
        <v>72</v>
      </c>
      <c r="AC34">
        <v>0</v>
      </c>
      <c r="AD34" t="s">
        <v>55</v>
      </c>
      <c r="AF34" t="s">
        <v>18</v>
      </c>
      <c r="AG34">
        <v>72</v>
      </c>
      <c r="AH34">
        <v>0</v>
      </c>
      <c r="AI34" t="s">
        <v>54</v>
      </c>
      <c r="AK34" t="s">
        <v>18</v>
      </c>
      <c r="AL34">
        <v>72</v>
      </c>
      <c r="AM34">
        <v>0</v>
      </c>
      <c r="AN34" t="s">
        <v>55</v>
      </c>
      <c r="AP34" t="s">
        <v>58</v>
      </c>
      <c r="AQ34">
        <v>72</v>
      </c>
      <c r="AR34">
        <v>0</v>
      </c>
      <c r="AS34" t="s">
        <v>54</v>
      </c>
      <c r="AU34" t="s">
        <v>22</v>
      </c>
      <c r="AV34">
        <v>72</v>
      </c>
      <c r="AW34">
        <v>0</v>
      </c>
      <c r="AX34" t="s">
        <v>55</v>
      </c>
      <c r="AZ34" t="s">
        <v>59</v>
      </c>
      <c r="BA34">
        <v>72</v>
      </c>
      <c r="BB34">
        <v>1</v>
      </c>
      <c r="BC34" t="s">
        <v>54</v>
      </c>
      <c r="BE34" t="s">
        <v>59</v>
      </c>
      <c r="BF34">
        <v>120</v>
      </c>
      <c r="BG34">
        <v>1</v>
      </c>
      <c r="BH34" t="s">
        <v>55</v>
      </c>
    </row>
    <row r="35" spans="2:60" x14ac:dyDescent="0.2">
      <c r="B35" t="s">
        <v>52</v>
      </c>
      <c r="C35">
        <v>9</v>
      </c>
      <c r="D35">
        <v>1</v>
      </c>
      <c r="L35" t="s">
        <v>56</v>
      </c>
      <c r="M35">
        <v>18</v>
      </c>
      <c r="N35">
        <v>1</v>
      </c>
      <c r="O35" t="s">
        <v>54</v>
      </c>
      <c r="Q35" t="s">
        <v>57</v>
      </c>
      <c r="R35">
        <v>22</v>
      </c>
      <c r="S35">
        <v>1</v>
      </c>
      <c r="T35" t="s">
        <v>55</v>
      </c>
      <c r="V35" t="s">
        <v>21</v>
      </c>
      <c r="W35">
        <v>72</v>
      </c>
      <c r="X35">
        <v>0</v>
      </c>
      <c r="Y35" t="s">
        <v>54</v>
      </c>
      <c r="AA35" t="s">
        <v>21</v>
      </c>
      <c r="AB35">
        <v>72</v>
      </c>
      <c r="AC35">
        <v>0</v>
      </c>
      <c r="AD35" t="s">
        <v>55</v>
      </c>
      <c r="AF35" t="s">
        <v>18</v>
      </c>
      <c r="AG35">
        <v>72</v>
      </c>
      <c r="AH35">
        <v>0</v>
      </c>
      <c r="AI35" t="s">
        <v>54</v>
      </c>
      <c r="AK35" t="s">
        <v>18</v>
      </c>
      <c r="AL35">
        <v>72</v>
      </c>
      <c r="AM35">
        <v>0</v>
      </c>
      <c r="AN35" t="s">
        <v>55</v>
      </c>
      <c r="AP35" t="s">
        <v>58</v>
      </c>
      <c r="AQ35">
        <v>72</v>
      </c>
      <c r="AR35">
        <v>0</v>
      </c>
      <c r="AS35" t="s">
        <v>54</v>
      </c>
      <c r="AU35" t="s">
        <v>22</v>
      </c>
      <c r="AV35">
        <v>72</v>
      </c>
      <c r="AW35">
        <v>0</v>
      </c>
      <c r="AX35" t="s">
        <v>55</v>
      </c>
      <c r="AZ35" t="s">
        <v>59</v>
      </c>
      <c r="BA35">
        <v>72</v>
      </c>
      <c r="BB35">
        <v>1</v>
      </c>
      <c r="BC35" t="s">
        <v>54</v>
      </c>
      <c r="BE35" t="s">
        <v>59</v>
      </c>
      <c r="BF35">
        <v>144</v>
      </c>
      <c r="BG35">
        <v>1</v>
      </c>
      <c r="BH35" t="s">
        <v>55</v>
      </c>
    </row>
    <row r="36" spans="2:60" x14ac:dyDescent="0.2">
      <c r="B36" t="s">
        <v>52</v>
      </c>
      <c r="C36">
        <v>9</v>
      </c>
      <c r="D36">
        <v>1</v>
      </c>
      <c r="L36" t="s">
        <v>56</v>
      </c>
      <c r="M36">
        <v>18</v>
      </c>
      <c r="N36">
        <v>1</v>
      </c>
      <c r="O36" t="s">
        <v>54</v>
      </c>
      <c r="Q36" t="s">
        <v>57</v>
      </c>
      <c r="R36">
        <v>23</v>
      </c>
      <c r="S36">
        <v>1</v>
      </c>
      <c r="T36" t="s">
        <v>55</v>
      </c>
      <c r="V36" t="s">
        <v>21</v>
      </c>
      <c r="W36">
        <v>72</v>
      </c>
      <c r="X36">
        <v>0</v>
      </c>
      <c r="Y36" t="s">
        <v>54</v>
      </c>
      <c r="AA36" t="s">
        <v>21</v>
      </c>
      <c r="AB36">
        <v>72</v>
      </c>
      <c r="AC36">
        <v>0</v>
      </c>
      <c r="AD36" t="s">
        <v>55</v>
      </c>
      <c r="AF36" t="s">
        <v>18</v>
      </c>
      <c r="AG36">
        <v>72</v>
      </c>
      <c r="AH36">
        <v>0</v>
      </c>
      <c r="AI36" t="s">
        <v>54</v>
      </c>
      <c r="AK36" t="s">
        <v>18</v>
      </c>
      <c r="AL36">
        <v>72</v>
      </c>
      <c r="AM36">
        <v>0</v>
      </c>
      <c r="AN36" t="s">
        <v>55</v>
      </c>
      <c r="AP36" t="s">
        <v>58</v>
      </c>
      <c r="AQ36">
        <v>72</v>
      </c>
      <c r="AR36">
        <v>0</v>
      </c>
      <c r="AS36" t="s">
        <v>54</v>
      </c>
      <c r="AU36" t="s">
        <v>22</v>
      </c>
      <c r="AV36">
        <v>72</v>
      </c>
      <c r="AW36">
        <v>0</v>
      </c>
      <c r="AX36" t="s">
        <v>55</v>
      </c>
      <c r="AZ36" t="s">
        <v>59</v>
      </c>
      <c r="BA36">
        <v>72</v>
      </c>
      <c r="BB36">
        <v>1</v>
      </c>
      <c r="BC36" t="s">
        <v>54</v>
      </c>
      <c r="BE36" t="s">
        <v>59</v>
      </c>
      <c r="BF36">
        <v>144</v>
      </c>
      <c r="BG36">
        <v>1</v>
      </c>
      <c r="BH36" t="s">
        <v>55</v>
      </c>
    </row>
    <row r="37" spans="2:60" x14ac:dyDescent="0.2">
      <c r="L37" t="s">
        <v>56</v>
      </c>
      <c r="M37">
        <v>20</v>
      </c>
      <c r="N37">
        <v>1</v>
      </c>
      <c r="O37" t="s">
        <v>54</v>
      </c>
      <c r="Q37" t="s">
        <v>57</v>
      </c>
      <c r="R37">
        <v>23</v>
      </c>
      <c r="S37">
        <v>1</v>
      </c>
      <c r="T37" t="s">
        <v>55</v>
      </c>
      <c r="V37" t="s">
        <v>21</v>
      </c>
      <c r="W37">
        <v>72</v>
      </c>
      <c r="X37">
        <v>0</v>
      </c>
      <c r="Y37" t="s">
        <v>54</v>
      </c>
      <c r="AA37" t="s">
        <v>21</v>
      </c>
      <c r="AB37">
        <v>72</v>
      </c>
      <c r="AC37">
        <v>0</v>
      </c>
      <c r="AD37" t="s">
        <v>55</v>
      </c>
      <c r="AF37" t="s">
        <v>18</v>
      </c>
      <c r="AG37">
        <v>72</v>
      </c>
      <c r="AH37">
        <v>0</v>
      </c>
      <c r="AI37" t="s">
        <v>54</v>
      </c>
      <c r="AK37" t="s">
        <v>18</v>
      </c>
      <c r="AL37">
        <v>72</v>
      </c>
      <c r="AM37">
        <v>0</v>
      </c>
      <c r="AN37" t="s">
        <v>55</v>
      </c>
      <c r="AP37" t="s">
        <v>58</v>
      </c>
      <c r="AQ37">
        <v>72</v>
      </c>
      <c r="AR37">
        <v>0</v>
      </c>
      <c r="AS37" t="s">
        <v>54</v>
      </c>
      <c r="AU37" t="s">
        <v>22</v>
      </c>
      <c r="AV37">
        <v>72</v>
      </c>
      <c r="AW37">
        <v>0</v>
      </c>
      <c r="AX37" t="s">
        <v>55</v>
      </c>
      <c r="AZ37" t="s">
        <v>59</v>
      </c>
      <c r="BA37">
        <v>72</v>
      </c>
      <c r="BB37">
        <v>1</v>
      </c>
      <c r="BC37" t="s">
        <v>54</v>
      </c>
      <c r="BE37" t="s">
        <v>59</v>
      </c>
      <c r="BF37">
        <v>144</v>
      </c>
      <c r="BG37">
        <v>1</v>
      </c>
      <c r="BH37" t="s">
        <v>55</v>
      </c>
    </row>
    <row r="38" spans="2:60" x14ac:dyDescent="0.2">
      <c r="V38" t="s">
        <v>21</v>
      </c>
      <c r="W38">
        <v>72</v>
      </c>
      <c r="X38">
        <v>0</v>
      </c>
      <c r="Y38" t="s">
        <v>54</v>
      </c>
      <c r="AA38" t="s">
        <v>21</v>
      </c>
      <c r="AB38">
        <v>72</v>
      </c>
      <c r="AC38">
        <v>0</v>
      </c>
      <c r="AD38" t="s">
        <v>55</v>
      </c>
      <c r="AF38" t="s">
        <v>18</v>
      </c>
      <c r="AG38">
        <v>72</v>
      </c>
      <c r="AH38">
        <v>0</v>
      </c>
      <c r="AI38" t="s">
        <v>54</v>
      </c>
      <c r="AK38" t="s">
        <v>18</v>
      </c>
      <c r="AL38">
        <v>72</v>
      </c>
      <c r="AM38">
        <v>0</v>
      </c>
      <c r="AN38" t="s">
        <v>55</v>
      </c>
      <c r="AP38" t="s">
        <v>58</v>
      </c>
      <c r="AQ38">
        <v>72</v>
      </c>
      <c r="AR38">
        <v>0</v>
      </c>
      <c r="AS38" t="s">
        <v>54</v>
      </c>
      <c r="AU38" t="s">
        <v>22</v>
      </c>
      <c r="AV38">
        <v>72</v>
      </c>
      <c r="AW38">
        <v>0</v>
      </c>
      <c r="AX38" t="s">
        <v>55</v>
      </c>
      <c r="AZ38" t="s">
        <v>59</v>
      </c>
      <c r="BA38">
        <v>72</v>
      </c>
      <c r="BB38">
        <v>1</v>
      </c>
      <c r="BC38" t="s">
        <v>54</v>
      </c>
      <c r="BE38" t="s">
        <v>59</v>
      </c>
      <c r="BF38">
        <v>144</v>
      </c>
      <c r="BG38">
        <v>1</v>
      </c>
      <c r="BH38" t="s">
        <v>55</v>
      </c>
    </row>
    <row r="39" spans="2:60" x14ac:dyDescent="0.2">
      <c r="V39" t="s">
        <v>21</v>
      </c>
      <c r="W39">
        <v>72</v>
      </c>
      <c r="X39">
        <v>0</v>
      </c>
      <c r="Y39" t="s">
        <v>54</v>
      </c>
      <c r="AA39" t="s">
        <v>21</v>
      </c>
      <c r="AB39">
        <v>72</v>
      </c>
      <c r="AC39">
        <v>0</v>
      </c>
      <c r="AD39" t="s">
        <v>55</v>
      </c>
      <c r="AK39" t="s">
        <v>18</v>
      </c>
      <c r="AL39">
        <v>72</v>
      </c>
      <c r="AM39">
        <v>0</v>
      </c>
      <c r="AN39" t="s">
        <v>55</v>
      </c>
      <c r="AP39" t="s">
        <v>58</v>
      </c>
      <c r="AQ39">
        <v>72</v>
      </c>
      <c r="AR39">
        <v>0</v>
      </c>
      <c r="AS39" t="s">
        <v>54</v>
      </c>
      <c r="AU39" t="s">
        <v>22</v>
      </c>
      <c r="AV39">
        <v>72</v>
      </c>
      <c r="AW39">
        <v>0</v>
      </c>
      <c r="AX39" t="s">
        <v>55</v>
      </c>
      <c r="AZ39" t="s">
        <v>59</v>
      </c>
      <c r="BA39">
        <v>72</v>
      </c>
      <c r="BB39">
        <v>1</v>
      </c>
      <c r="BC39" t="s">
        <v>54</v>
      </c>
      <c r="BE39" t="s">
        <v>59</v>
      </c>
      <c r="BF39">
        <v>144</v>
      </c>
      <c r="BG39">
        <v>1</v>
      </c>
      <c r="BH39" t="s">
        <v>55</v>
      </c>
    </row>
    <row r="40" spans="2:60" x14ac:dyDescent="0.2">
      <c r="V40" t="s">
        <v>21</v>
      </c>
      <c r="W40">
        <v>72</v>
      </c>
      <c r="X40">
        <v>0</v>
      </c>
      <c r="Y40" t="s">
        <v>54</v>
      </c>
      <c r="AA40" t="s">
        <v>21</v>
      </c>
      <c r="AB40">
        <v>72</v>
      </c>
      <c r="AC40">
        <v>0</v>
      </c>
      <c r="AD40" t="s">
        <v>55</v>
      </c>
      <c r="AK40" t="s">
        <v>18</v>
      </c>
      <c r="AL40">
        <v>72</v>
      </c>
      <c r="AM40">
        <v>0</v>
      </c>
      <c r="AN40" t="s">
        <v>55</v>
      </c>
      <c r="AP40" t="s">
        <v>58</v>
      </c>
      <c r="AQ40">
        <v>72</v>
      </c>
      <c r="AR40">
        <v>0</v>
      </c>
      <c r="AS40" t="s">
        <v>54</v>
      </c>
      <c r="AU40" t="s">
        <v>22</v>
      </c>
      <c r="AV40">
        <v>72</v>
      </c>
      <c r="AW40">
        <v>0</v>
      </c>
      <c r="AX40" t="s">
        <v>55</v>
      </c>
      <c r="AZ40" t="s">
        <v>59</v>
      </c>
      <c r="BA40">
        <v>96</v>
      </c>
      <c r="BB40">
        <v>1</v>
      </c>
      <c r="BC40" t="s">
        <v>54</v>
      </c>
      <c r="BE40" t="s">
        <v>59</v>
      </c>
      <c r="BF40">
        <v>144</v>
      </c>
      <c r="BG40">
        <v>1</v>
      </c>
      <c r="BH40" t="s">
        <v>55</v>
      </c>
    </row>
    <row r="41" spans="2:60" x14ac:dyDescent="0.2">
      <c r="V41" t="s">
        <v>21</v>
      </c>
      <c r="W41">
        <v>72</v>
      </c>
      <c r="X41">
        <v>0</v>
      </c>
      <c r="Y41" t="s">
        <v>54</v>
      </c>
      <c r="AA41" t="s">
        <v>21</v>
      </c>
      <c r="AB41">
        <v>72</v>
      </c>
      <c r="AC41">
        <v>0</v>
      </c>
      <c r="AD41" t="s">
        <v>55</v>
      </c>
      <c r="AK41" t="s">
        <v>18</v>
      </c>
      <c r="AL41">
        <v>72</v>
      </c>
      <c r="AM41">
        <v>0</v>
      </c>
      <c r="AN41" t="s">
        <v>55</v>
      </c>
      <c r="AP41" t="s">
        <v>58</v>
      </c>
      <c r="AQ41">
        <v>72</v>
      </c>
      <c r="AR41">
        <v>0</v>
      </c>
      <c r="AS41" t="s">
        <v>54</v>
      </c>
      <c r="AU41" t="s">
        <v>22</v>
      </c>
      <c r="AV41">
        <v>72</v>
      </c>
      <c r="AW41">
        <v>0</v>
      </c>
      <c r="AX41" t="s">
        <v>55</v>
      </c>
      <c r="AZ41" t="s">
        <v>59</v>
      </c>
      <c r="BA41">
        <v>96</v>
      </c>
      <c r="BB41">
        <v>1</v>
      </c>
      <c r="BC41" t="s">
        <v>54</v>
      </c>
      <c r="BE41" t="s">
        <v>59</v>
      </c>
      <c r="BF41">
        <v>144</v>
      </c>
      <c r="BG41">
        <v>1</v>
      </c>
      <c r="BH41" t="s">
        <v>55</v>
      </c>
    </row>
    <row r="42" spans="2:60" x14ac:dyDescent="0.2">
      <c r="V42" t="s">
        <v>21</v>
      </c>
      <c r="W42">
        <v>72</v>
      </c>
      <c r="X42">
        <v>0</v>
      </c>
      <c r="Y42" t="s">
        <v>54</v>
      </c>
      <c r="AA42" t="s">
        <v>21</v>
      </c>
      <c r="AB42">
        <v>72</v>
      </c>
      <c r="AC42">
        <v>0</v>
      </c>
      <c r="AD42" t="s">
        <v>55</v>
      </c>
      <c r="AK42" t="s">
        <v>18</v>
      </c>
      <c r="AL42">
        <v>72</v>
      </c>
      <c r="AM42">
        <v>0</v>
      </c>
      <c r="AN42" t="s">
        <v>55</v>
      </c>
      <c r="AP42" t="s">
        <v>58</v>
      </c>
      <c r="AQ42">
        <v>72</v>
      </c>
      <c r="AR42">
        <v>0</v>
      </c>
      <c r="AS42" t="s">
        <v>54</v>
      </c>
      <c r="AU42" t="s">
        <v>22</v>
      </c>
      <c r="AV42">
        <v>72</v>
      </c>
      <c r="AW42">
        <v>0</v>
      </c>
      <c r="AX42" t="s">
        <v>55</v>
      </c>
      <c r="AZ42" t="s">
        <v>59</v>
      </c>
      <c r="BA42">
        <v>96</v>
      </c>
      <c r="BB42">
        <v>1</v>
      </c>
      <c r="BC42" t="s">
        <v>54</v>
      </c>
      <c r="BE42" t="s">
        <v>59</v>
      </c>
      <c r="BF42">
        <v>168</v>
      </c>
      <c r="BG42">
        <v>1</v>
      </c>
      <c r="BH42" t="s">
        <v>55</v>
      </c>
    </row>
    <row r="43" spans="2:60" x14ac:dyDescent="0.2">
      <c r="V43" t="s">
        <v>21</v>
      </c>
      <c r="W43">
        <v>72</v>
      </c>
      <c r="X43">
        <v>0</v>
      </c>
      <c r="Y43" t="s">
        <v>54</v>
      </c>
      <c r="AA43" t="s">
        <v>21</v>
      </c>
      <c r="AB43">
        <v>72</v>
      </c>
      <c r="AC43">
        <v>0</v>
      </c>
      <c r="AD43" t="s">
        <v>55</v>
      </c>
      <c r="AK43" t="s">
        <v>18</v>
      </c>
      <c r="AL43">
        <v>72</v>
      </c>
      <c r="AM43">
        <v>0</v>
      </c>
      <c r="AN43" t="s">
        <v>55</v>
      </c>
      <c r="AP43" t="s">
        <v>58</v>
      </c>
      <c r="AQ43">
        <v>72</v>
      </c>
      <c r="AR43">
        <v>0</v>
      </c>
      <c r="AS43" t="s">
        <v>54</v>
      </c>
      <c r="AU43" t="s">
        <v>22</v>
      </c>
      <c r="AV43">
        <v>72</v>
      </c>
      <c r="AW43">
        <v>0</v>
      </c>
      <c r="AX43" t="s">
        <v>55</v>
      </c>
      <c r="AZ43" t="s">
        <v>59</v>
      </c>
      <c r="BA43">
        <v>96</v>
      </c>
      <c r="BB43">
        <v>1</v>
      </c>
      <c r="BC43" t="s">
        <v>54</v>
      </c>
      <c r="BE43" t="s">
        <v>59</v>
      </c>
      <c r="BF43">
        <v>168</v>
      </c>
      <c r="BG43">
        <v>1</v>
      </c>
      <c r="BH43" t="s">
        <v>55</v>
      </c>
    </row>
    <row r="44" spans="2:60" x14ac:dyDescent="0.2">
      <c r="V44" t="s">
        <v>21</v>
      </c>
      <c r="W44">
        <v>72</v>
      </c>
      <c r="X44">
        <v>0</v>
      </c>
      <c r="Y44" t="s">
        <v>54</v>
      </c>
      <c r="AA44" t="s">
        <v>21</v>
      </c>
      <c r="AB44">
        <v>72</v>
      </c>
      <c r="AC44">
        <v>0</v>
      </c>
      <c r="AD44" t="s">
        <v>55</v>
      </c>
      <c r="AK44" t="s">
        <v>18</v>
      </c>
      <c r="AL44">
        <v>72</v>
      </c>
      <c r="AM44">
        <v>0</v>
      </c>
      <c r="AN44" t="s">
        <v>55</v>
      </c>
      <c r="AP44" t="s">
        <v>58</v>
      </c>
      <c r="AQ44">
        <v>72</v>
      </c>
      <c r="AR44">
        <v>0</v>
      </c>
      <c r="AS44" t="s">
        <v>54</v>
      </c>
      <c r="AU44" t="s">
        <v>22</v>
      </c>
      <c r="AV44">
        <v>72</v>
      </c>
      <c r="AW44">
        <v>0</v>
      </c>
      <c r="AX44" t="s">
        <v>55</v>
      </c>
      <c r="AZ44" t="s">
        <v>59</v>
      </c>
      <c r="BA44">
        <v>96</v>
      </c>
      <c r="BB44">
        <v>1</v>
      </c>
      <c r="BC44" t="s">
        <v>54</v>
      </c>
      <c r="BE44" t="s">
        <v>59</v>
      </c>
      <c r="BF44">
        <v>168</v>
      </c>
      <c r="BG44">
        <v>1</v>
      </c>
      <c r="BH44" t="s">
        <v>55</v>
      </c>
    </row>
    <row r="45" spans="2:60" x14ac:dyDescent="0.2">
      <c r="V45" t="s">
        <v>21</v>
      </c>
      <c r="W45">
        <v>72</v>
      </c>
      <c r="X45">
        <v>0</v>
      </c>
      <c r="Y45" t="s">
        <v>54</v>
      </c>
      <c r="AA45" t="s">
        <v>21</v>
      </c>
      <c r="AB45">
        <v>72</v>
      </c>
      <c r="AC45">
        <v>0</v>
      </c>
      <c r="AD45" t="s">
        <v>55</v>
      </c>
      <c r="AK45" t="s">
        <v>18</v>
      </c>
      <c r="AL45">
        <v>72</v>
      </c>
      <c r="AM45">
        <v>0</v>
      </c>
      <c r="AN45" t="s">
        <v>55</v>
      </c>
      <c r="AU45" t="s">
        <v>22</v>
      </c>
      <c r="AV45">
        <v>72</v>
      </c>
      <c r="AW45">
        <v>0</v>
      </c>
      <c r="AX45" t="s">
        <v>55</v>
      </c>
      <c r="AZ45" t="s">
        <v>59</v>
      </c>
      <c r="BA45">
        <v>96</v>
      </c>
      <c r="BB45">
        <v>1</v>
      </c>
      <c r="BC45" t="s">
        <v>54</v>
      </c>
      <c r="BE45" t="s">
        <v>59</v>
      </c>
      <c r="BF45">
        <v>168</v>
      </c>
      <c r="BG45">
        <v>1</v>
      </c>
      <c r="BH45" t="s">
        <v>55</v>
      </c>
    </row>
    <row r="46" spans="2:60" x14ac:dyDescent="0.2">
      <c r="V46" t="s">
        <v>21</v>
      </c>
      <c r="W46">
        <v>72</v>
      </c>
      <c r="X46">
        <v>0</v>
      </c>
      <c r="Y46" t="s">
        <v>54</v>
      </c>
      <c r="AA46" t="s">
        <v>21</v>
      </c>
      <c r="AB46">
        <v>72</v>
      </c>
      <c r="AC46">
        <v>0</v>
      </c>
      <c r="AD46" t="s">
        <v>55</v>
      </c>
      <c r="AK46" t="s">
        <v>18</v>
      </c>
      <c r="AL46">
        <v>72</v>
      </c>
      <c r="AM46">
        <v>0</v>
      </c>
      <c r="AN46" t="s">
        <v>55</v>
      </c>
      <c r="AU46" t="s">
        <v>22</v>
      </c>
      <c r="AV46">
        <v>72</v>
      </c>
      <c r="AW46">
        <v>0</v>
      </c>
      <c r="AX46" t="s">
        <v>55</v>
      </c>
      <c r="AZ46" t="s">
        <v>59</v>
      </c>
      <c r="BA46">
        <v>96</v>
      </c>
      <c r="BB46">
        <v>1</v>
      </c>
      <c r="BC46" t="s">
        <v>54</v>
      </c>
    </row>
    <row r="47" spans="2:60" x14ac:dyDescent="0.2">
      <c r="V47" t="s">
        <v>21</v>
      </c>
      <c r="W47">
        <v>72</v>
      </c>
      <c r="X47">
        <v>0</v>
      </c>
      <c r="Y47" t="s">
        <v>54</v>
      </c>
      <c r="AA47" t="s">
        <v>21</v>
      </c>
      <c r="AB47">
        <v>72</v>
      </c>
      <c r="AC47">
        <v>0</v>
      </c>
      <c r="AD47" t="s">
        <v>55</v>
      </c>
      <c r="AK47" t="s">
        <v>18</v>
      </c>
      <c r="AL47">
        <v>72</v>
      </c>
      <c r="AM47">
        <v>0</v>
      </c>
      <c r="AN47" t="s">
        <v>55</v>
      </c>
      <c r="AU47" t="s">
        <v>22</v>
      </c>
      <c r="AV47">
        <v>72</v>
      </c>
      <c r="AW47">
        <v>0</v>
      </c>
      <c r="AX47" t="s">
        <v>55</v>
      </c>
      <c r="AZ47" t="s">
        <v>59</v>
      </c>
      <c r="BA47">
        <v>96</v>
      </c>
      <c r="BB47">
        <v>1</v>
      </c>
      <c r="BC47" t="s">
        <v>54</v>
      </c>
    </row>
    <row r="48" spans="2:60" x14ac:dyDescent="0.2">
      <c r="V48" t="s">
        <v>21</v>
      </c>
      <c r="W48">
        <v>72</v>
      </c>
      <c r="X48">
        <v>0</v>
      </c>
      <c r="Y48" t="s">
        <v>54</v>
      </c>
      <c r="AA48" t="s">
        <v>21</v>
      </c>
      <c r="AB48">
        <v>72</v>
      </c>
      <c r="AC48">
        <v>0</v>
      </c>
      <c r="AD48" t="s">
        <v>55</v>
      </c>
      <c r="AK48" t="s">
        <v>18</v>
      </c>
      <c r="AL48">
        <v>72</v>
      </c>
      <c r="AM48">
        <v>0</v>
      </c>
      <c r="AN48" t="s">
        <v>55</v>
      </c>
      <c r="AU48" t="s">
        <v>22</v>
      </c>
      <c r="AV48">
        <v>72</v>
      </c>
      <c r="AW48">
        <v>0</v>
      </c>
      <c r="AX48" t="s">
        <v>55</v>
      </c>
      <c r="AZ48" t="s">
        <v>59</v>
      </c>
      <c r="BA48">
        <v>96</v>
      </c>
      <c r="BB48">
        <v>1</v>
      </c>
      <c r="BC48" t="s">
        <v>54</v>
      </c>
    </row>
    <row r="49" spans="27:55" x14ac:dyDescent="0.2">
      <c r="AA49" t="s">
        <v>21</v>
      </c>
      <c r="AB49">
        <v>72</v>
      </c>
      <c r="AC49">
        <v>0</v>
      </c>
      <c r="AD49" t="s">
        <v>55</v>
      </c>
      <c r="AK49" t="s">
        <v>18</v>
      </c>
      <c r="AL49">
        <v>72</v>
      </c>
      <c r="AM49">
        <v>0</v>
      </c>
      <c r="AN49" t="s">
        <v>55</v>
      </c>
      <c r="AU49" t="s">
        <v>22</v>
      </c>
      <c r="AV49">
        <v>72</v>
      </c>
      <c r="AW49">
        <v>0</v>
      </c>
      <c r="AX49" t="s">
        <v>55</v>
      </c>
      <c r="AZ49" t="s">
        <v>59</v>
      </c>
      <c r="BA49">
        <v>96</v>
      </c>
      <c r="BB49">
        <v>1</v>
      </c>
      <c r="BC49" t="s">
        <v>54</v>
      </c>
    </row>
    <row r="50" spans="27:55" x14ac:dyDescent="0.2">
      <c r="AA50" t="s">
        <v>21</v>
      </c>
      <c r="AB50">
        <v>72</v>
      </c>
      <c r="AC50">
        <v>0</v>
      </c>
      <c r="AD50" t="s">
        <v>55</v>
      </c>
      <c r="AK50" t="s">
        <v>18</v>
      </c>
      <c r="AL50">
        <v>72</v>
      </c>
      <c r="AM50">
        <v>0</v>
      </c>
      <c r="AN50" t="s">
        <v>55</v>
      </c>
      <c r="AU50" t="s">
        <v>22</v>
      </c>
      <c r="AV50">
        <v>72</v>
      </c>
      <c r="AW50">
        <v>0</v>
      </c>
      <c r="AX50" t="s">
        <v>55</v>
      </c>
      <c r="AZ50" t="s">
        <v>59</v>
      </c>
      <c r="BA50">
        <v>96</v>
      </c>
      <c r="BB50">
        <v>1</v>
      </c>
      <c r="BC50" t="s">
        <v>54</v>
      </c>
    </row>
    <row r="51" spans="27:55" x14ac:dyDescent="0.2">
      <c r="AA51" t="s">
        <v>21</v>
      </c>
      <c r="AB51">
        <v>72</v>
      </c>
      <c r="AC51">
        <v>0</v>
      </c>
      <c r="AD51" t="s">
        <v>55</v>
      </c>
      <c r="AK51" t="s">
        <v>18</v>
      </c>
      <c r="AL51">
        <v>72</v>
      </c>
      <c r="AM51">
        <v>0</v>
      </c>
      <c r="AN51" t="s">
        <v>55</v>
      </c>
      <c r="AU51" t="s">
        <v>22</v>
      </c>
      <c r="AV51">
        <v>72</v>
      </c>
      <c r="AW51">
        <v>0</v>
      </c>
      <c r="AX51" t="s">
        <v>55</v>
      </c>
      <c r="AZ51" t="s">
        <v>59</v>
      </c>
      <c r="BA51">
        <v>96</v>
      </c>
      <c r="BB51">
        <v>1</v>
      </c>
      <c r="BC51" t="s">
        <v>54</v>
      </c>
    </row>
    <row r="52" spans="27:55" x14ac:dyDescent="0.2">
      <c r="AA52" t="s">
        <v>21</v>
      </c>
      <c r="AB52">
        <v>72</v>
      </c>
      <c r="AC52">
        <v>0</v>
      </c>
      <c r="AD52" t="s">
        <v>55</v>
      </c>
      <c r="AK52" t="s">
        <v>18</v>
      </c>
      <c r="AL52">
        <v>72</v>
      </c>
      <c r="AM52">
        <v>0</v>
      </c>
      <c r="AN52" t="s">
        <v>55</v>
      </c>
      <c r="AU52" t="s">
        <v>22</v>
      </c>
      <c r="AV52">
        <v>72</v>
      </c>
      <c r="AW52">
        <v>0</v>
      </c>
      <c r="AX52" t="s">
        <v>55</v>
      </c>
      <c r="AZ52" t="s">
        <v>59</v>
      </c>
      <c r="BA52">
        <v>96</v>
      </c>
      <c r="BB52">
        <v>1</v>
      </c>
      <c r="BC52" t="s">
        <v>54</v>
      </c>
    </row>
    <row r="53" spans="27:55" x14ac:dyDescent="0.2">
      <c r="AA53" t="s">
        <v>21</v>
      </c>
      <c r="AB53">
        <v>72</v>
      </c>
      <c r="AC53">
        <v>0</v>
      </c>
      <c r="AD53" t="s">
        <v>55</v>
      </c>
      <c r="AK53" t="s">
        <v>18</v>
      </c>
      <c r="AL53">
        <v>72</v>
      </c>
      <c r="AM53">
        <v>0</v>
      </c>
      <c r="AN53" t="s">
        <v>55</v>
      </c>
      <c r="AU53" t="s">
        <v>22</v>
      </c>
      <c r="AV53">
        <v>72</v>
      </c>
      <c r="AW53">
        <v>0</v>
      </c>
      <c r="AX53" t="s">
        <v>55</v>
      </c>
      <c r="AZ53" t="s">
        <v>59</v>
      </c>
      <c r="BA53">
        <v>96</v>
      </c>
      <c r="BB53">
        <v>1</v>
      </c>
      <c r="BC53" t="s">
        <v>54</v>
      </c>
    </row>
    <row r="54" spans="27:55" x14ac:dyDescent="0.2">
      <c r="AK54" t="s">
        <v>18</v>
      </c>
      <c r="AL54">
        <v>72</v>
      </c>
      <c r="AM54">
        <v>0</v>
      </c>
      <c r="AN54" t="s">
        <v>55</v>
      </c>
      <c r="AU54" t="s">
        <v>22</v>
      </c>
      <c r="AV54">
        <v>72</v>
      </c>
      <c r="AW54">
        <v>0</v>
      </c>
      <c r="AX54" t="s">
        <v>55</v>
      </c>
      <c r="AZ54" t="s">
        <v>59</v>
      </c>
      <c r="BA54">
        <v>96</v>
      </c>
      <c r="BB54">
        <v>1</v>
      </c>
      <c r="BC54" t="s">
        <v>54</v>
      </c>
    </row>
    <row r="55" spans="27:55" x14ac:dyDescent="0.2">
      <c r="AK55" t="s">
        <v>18</v>
      </c>
      <c r="AL55">
        <v>72</v>
      </c>
      <c r="AM55">
        <v>0</v>
      </c>
      <c r="AN55" t="s">
        <v>55</v>
      </c>
      <c r="AZ55" t="s">
        <v>59</v>
      </c>
      <c r="BA55">
        <v>96</v>
      </c>
      <c r="BB55">
        <v>1</v>
      </c>
      <c r="BC55" t="s">
        <v>54</v>
      </c>
    </row>
    <row r="56" spans="27:55" x14ac:dyDescent="0.2">
      <c r="AK56" t="s">
        <v>18</v>
      </c>
      <c r="AL56">
        <v>72</v>
      </c>
      <c r="AM56">
        <v>0</v>
      </c>
      <c r="AN56" t="s">
        <v>55</v>
      </c>
      <c r="AZ56" t="s">
        <v>59</v>
      </c>
      <c r="BA56">
        <v>96</v>
      </c>
      <c r="BB56">
        <v>1</v>
      </c>
      <c r="BC56" t="s">
        <v>54</v>
      </c>
    </row>
    <row r="57" spans="27:55" x14ac:dyDescent="0.2">
      <c r="AK57" t="s">
        <v>18</v>
      </c>
      <c r="AL57">
        <v>72</v>
      </c>
      <c r="AM57">
        <v>0</v>
      </c>
      <c r="AN57" t="s">
        <v>55</v>
      </c>
      <c r="AZ57" t="s">
        <v>59</v>
      </c>
      <c r="BA57">
        <v>96</v>
      </c>
      <c r="BB57">
        <v>1</v>
      </c>
      <c r="BC57" t="s">
        <v>54</v>
      </c>
    </row>
    <row r="58" spans="27:55" x14ac:dyDescent="0.2">
      <c r="AZ58" t="s">
        <v>59</v>
      </c>
      <c r="BA58">
        <v>120</v>
      </c>
      <c r="BB58">
        <v>1</v>
      </c>
      <c r="BC58" t="s">
        <v>54</v>
      </c>
    </row>
    <row r="59" spans="27:55" x14ac:dyDescent="0.2">
      <c r="AZ59" t="s">
        <v>59</v>
      </c>
      <c r="BA59">
        <v>120</v>
      </c>
      <c r="BB59">
        <v>1</v>
      </c>
      <c r="BC59" t="s">
        <v>54</v>
      </c>
    </row>
    <row r="60" spans="27:55" x14ac:dyDescent="0.2">
      <c r="AZ60" t="s">
        <v>59</v>
      </c>
      <c r="BA60">
        <v>120</v>
      </c>
      <c r="BB60">
        <v>1</v>
      </c>
      <c r="BC60" t="s">
        <v>54</v>
      </c>
    </row>
    <row r="61" spans="27:55" x14ac:dyDescent="0.2">
      <c r="AZ61" t="s">
        <v>59</v>
      </c>
      <c r="BA61">
        <v>120</v>
      </c>
      <c r="BB61">
        <v>1</v>
      </c>
      <c r="BC61" t="s">
        <v>54</v>
      </c>
    </row>
    <row r="62" spans="27:55" x14ac:dyDescent="0.2">
      <c r="AZ62" t="s">
        <v>59</v>
      </c>
      <c r="BA62">
        <v>120</v>
      </c>
      <c r="BB62">
        <v>1</v>
      </c>
      <c r="BC62" t="s">
        <v>54</v>
      </c>
    </row>
    <row r="63" spans="27:55" x14ac:dyDescent="0.2">
      <c r="AZ63" t="s">
        <v>59</v>
      </c>
      <c r="BA63">
        <v>120</v>
      </c>
      <c r="BB63">
        <v>1</v>
      </c>
      <c r="BC63" t="s">
        <v>54</v>
      </c>
    </row>
    <row r="64" spans="27:55" x14ac:dyDescent="0.2">
      <c r="AZ64" t="s">
        <v>59</v>
      </c>
      <c r="BA64">
        <v>120</v>
      </c>
      <c r="BB64">
        <v>1</v>
      </c>
      <c r="BC64" t="s">
        <v>54</v>
      </c>
    </row>
    <row r="65" spans="52:55" x14ac:dyDescent="0.2">
      <c r="AZ65" t="s">
        <v>59</v>
      </c>
      <c r="BA65">
        <v>120</v>
      </c>
      <c r="BB65">
        <v>1</v>
      </c>
      <c r="BC65" t="s">
        <v>54</v>
      </c>
    </row>
    <row r="66" spans="52:55" x14ac:dyDescent="0.2">
      <c r="AZ66" t="s">
        <v>59</v>
      </c>
      <c r="BA66">
        <v>120</v>
      </c>
      <c r="BB66">
        <v>1</v>
      </c>
      <c r="BC66" t="s">
        <v>54</v>
      </c>
    </row>
    <row r="67" spans="52:55" x14ac:dyDescent="0.2">
      <c r="AZ67" t="s">
        <v>59</v>
      </c>
      <c r="BA67">
        <v>120</v>
      </c>
      <c r="BB67">
        <v>1</v>
      </c>
      <c r="BC67" t="s">
        <v>54</v>
      </c>
    </row>
    <row r="68" spans="52:55" x14ac:dyDescent="0.2">
      <c r="AZ68" t="s">
        <v>59</v>
      </c>
      <c r="BA68">
        <v>120</v>
      </c>
      <c r="BB68">
        <v>1</v>
      </c>
      <c r="BC68" t="s">
        <v>54</v>
      </c>
    </row>
    <row r="69" spans="52:55" x14ac:dyDescent="0.2">
      <c r="AZ69" t="s">
        <v>59</v>
      </c>
      <c r="BA69">
        <v>120</v>
      </c>
      <c r="BB69">
        <v>1</v>
      </c>
      <c r="BC69" t="s">
        <v>54</v>
      </c>
    </row>
    <row r="70" spans="52:55" x14ac:dyDescent="0.2">
      <c r="AZ70" t="s">
        <v>59</v>
      </c>
      <c r="BA70">
        <v>120</v>
      </c>
      <c r="BB70">
        <v>1</v>
      </c>
      <c r="BC70" t="s">
        <v>54</v>
      </c>
    </row>
    <row r="71" spans="52:55" x14ac:dyDescent="0.2">
      <c r="AZ71" t="s">
        <v>59</v>
      </c>
      <c r="BA71">
        <v>120</v>
      </c>
      <c r="BB71">
        <v>1</v>
      </c>
      <c r="BC71" t="s">
        <v>54</v>
      </c>
    </row>
    <row r="72" spans="52:55" x14ac:dyDescent="0.2">
      <c r="AZ72" t="s">
        <v>59</v>
      </c>
      <c r="BA72">
        <v>120</v>
      </c>
      <c r="BB72">
        <v>1</v>
      </c>
      <c r="BC72" t="s">
        <v>54</v>
      </c>
    </row>
    <row r="73" spans="52:55" x14ac:dyDescent="0.2">
      <c r="AZ73" t="s">
        <v>59</v>
      </c>
      <c r="BA73">
        <v>120</v>
      </c>
      <c r="BB73">
        <v>1</v>
      </c>
      <c r="BC73" t="s">
        <v>54</v>
      </c>
    </row>
    <row r="74" spans="52:55" x14ac:dyDescent="0.2">
      <c r="AZ74" t="s">
        <v>59</v>
      </c>
      <c r="BA74">
        <v>120</v>
      </c>
      <c r="BB74">
        <v>1</v>
      </c>
      <c r="BC74" t="s">
        <v>54</v>
      </c>
    </row>
    <row r="75" spans="52:55" x14ac:dyDescent="0.2">
      <c r="AZ75" t="s">
        <v>59</v>
      </c>
      <c r="BA75">
        <v>144</v>
      </c>
      <c r="BB75">
        <v>1</v>
      </c>
      <c r="BC75" t="s">
        <v>54</v>
      </c>
    </row>
    <row r="76" spans="52:55" x14ac:dyDescent="0.2">
      <c r="AZ76" t="s">
        <v>59</v>
      </c>
      <c r="BA76">
        <v>144</v>
      </c>
      <c r="BB76">
        <v>1</v>
      </c>
      <c r="BC76" t="s">
        <v>54</v>
      </c>
    </row>
    <row r="77" spans="52:55" x14ac:dyDescent="0.2">
      <c r="AZ77" t="s">
        <v>59</v>
      </c>
      <c r="BA77">
        <v>144</v>
      </c>
      <c r="BB77">
        <v>1</v>
      </c>
      <c r="BC77" t="s">
        <v>54</v>
      </c>
    </row>
    <row r="78" spans="52:55" x14ac:dyDescent="0.2">
      <c r="AZ78" t="s">
        <v>59</v>
      </c>
      <c r="BA78">
        <v>144</v>
      </c>
      <c r="BB78">
        <v>1</v>
      </c>
      <c r="BC78" t="s">
        <v>54</v>
      </c>
    </row>
    <row r="79" spans="52:55" x14ac:dyDescent="0.2">
      <c r="AZ79" t="s">
        <v>59</v>
      </c>
      <c r="BA79">
        <v>144</v>
      </c>
      <c r="BB79">
        <v>1</v>
      </c>
      <c r="BC79" t="s">
        <v>54</v>
      </c>
    </row>
    <row r="80" spans="52:55" x14ac:dyDescent="0.2">
      <c r="AZ80" t="s">
        <v>59</v>
      </c>
      <c r="BA80">
        <v>144</v>
      </c>
      <c r="BB80">
        <v>1</v>
      </c>
      <c r="BC80" t="s">
        <v>54</v>
      </c>
    </row>
    <row r="81" spans="52:55" x14ac:dyDescent="0.2">
      <c r="AZ81" t="s">
        <v>59</v>
      </c>
      <c r="BA81">
        <v>144</v>
      </c>
      <c r="BB81">
        <v>1</v>
      </c>
      <c r="BC81" t="s">
        <v>54</v>
      </c>
    </row>
    <row r="82" spans="52:55" x14ac:dyDescent="0.2">
      <c r="AZ82" t="s">
        <v>59</v>
      </c>
      <c r="BA82">
        <v>144</v>
      </c>
      <c r="BB82">
        <v>1</v>
      </c>
      <c r="BC82" t="s">
        <v>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CC649-3F76-DD43-A56B-B87F2420C776}">
  <dimension ref="A1:E617"/>
  <sheetViews>
    <sheetView workbookViewId="0">
      <selection activeCell="L25" sqref="L25"/>
    </sheetView>
  </sheetViews>
  <sheetFormatPr baseColWidth="10" defaultRowHeight="16" x14ac:dyDescent="0.2"/>
  <sheetData>
    <row r="1" spans="1:5" x14ac:dyDescent="0.2">
      <c r="A1" s="3" t="s">
        <v>17</v>
      </c>
      <c r="B1" s="3" t="s">
        <v>13</v>
      </c>
      <c r="C1" s="3" t="s">
        <v>60</v>
      </c>
      <c r="D1" s="3" t="s">
        <v>67</v>
      </c>
      <c r="E1" s="3" t="s">
        <v>51</v>
      </c>
    </row>
    <row r="2" spans="1:5" x14ac:dyDescent="0.2">
      <c r="A2" s="3" t="s">
        <v>6</v>
      </c>
      <c r="B2" s="3">
        <v>78.723404000000002</v>
      </c>
      <c r="C2" s="3">
        <v>1</v>
      </c>
      <c r="D2" s="3">
        <v>1</v>
      </c>
      <c r="E2" s="3">
        <v>3</v>
      </c>
    </row>
    <row r="3" spans="1:5" x14ac:dyDescent="0.2">
      <c r="A3" s="3" t="s">
        <v>6</v>
      </c>
      <c r="B3" s="3">
        <v>97.395832999999996</v>
      </c>
      <c r="C3" s="3">
        <v>1</v>
      </c>
      <c r="D3" s="3">
        <v>1</v>
      </c>
      <c r="E3" s="3">
        <v>3</v>
      </c>
    </row>
    <row r="4" spans="1:5" x14ac:dyDescent="0.2">
      <c r="A4" s="3" t="s">
        <v>6</v>
      </c>
      <c r="B4" s="3">
        <v>100</v>
      </c>
      <c r="C4" s="3">
        <v>1</v>
      </c>
      <c r="D4" s="3">
        <v>1</v>
      </c>
      <c r="E4" s="3">
        <v>3</v>
      </c>
    </row>
    <row r="5" spans="1:5" x14ac:dyDescent="0.2">
      <c r="A5" s="3" t="s">
        <v>6</v>
      </c>
      <c r="B5" s="3">
        <v>95.342466000000002</v>
      </c>
      <c r="C5" s="3">
        <v>1</v>
      </c>
      <c r="D5" s="3">
        <v>1</v>
      </c>
      <c r="E5" s="3">
        <v>3</v>
      </c>
    </row>
    <row r="6" spans="1:5" x14ac:dyDescent="0.2">
      <c r="A6" s="3" t="s">
        <v>6</v>
      </c>
      <c r="B6" s="3">
        <v>97.826087000000001</v>
      </c>
      <c r="C6" s="3">
        <v>1</v>
      </c>
      <c r="D6" s="3">
        <v>1</v>
      </c>
      <c r="E6" s="3">
        <v>3</v>
      </c>
    </row>
    <row r="7" spans="1:5" x14ac:dyDescent="0.2">
      <c r="A7" s="3" t="s">
        <v>6</v>
      </c>
      <c r="B7" s="3">
        <v>91.520467999999994</v>
      </c>
      <c r="C7" s="3">
        <v>1</v>
      </c>
      <c r="D7" s="3">
        <v>1</v>
      </c>
      <c r="E7" s="3">
        <v>3</v>
      </c>
    </row>
    <row r="8" spans="1:5" x14ac:dyDescent="0.2">
      <c r="A8" s="3" t="s">
        <v>6</v>
      </c>
      <c r="B8" s="3">
        <v>93.103448</v>
      </c>
      <c r="C8" s="3">
        <v>1</v>
      </c>
      <c r="D8" s="3">
        <v>1</v>
      </c>
      <c r="E8" s="3">
        <v>3</v>
      </c>
    </row>
    <row r="9" spans="1:5" x14ac:dyDescent="0.2">
      <c r="A9" s="3" t="s">
        <v>6</v>
      </c>
      <c r="B9" s="3">
        <v>99.2</v>
      </c>
      <c r="C9" s="3">
        <v>1</v>
      </c>
      <c r="D9" s="3">
        <v>1</v>
      </c>
      <c r="E9" s="3">
        <v>3</v>
      </c>
    </row>
    <row r="10" spans="1:5" x14ac:dyDescent="0.2">
      <c r="A10" s="3" t="s">
        <v>6</v>
      </c>
      <c r="B10" s="3">
        <v>94.339622999999989</v>
      </c>
      <c r="C10" s="3">
        <v>1</v>
      </c>
      <c r="D10" s="3">
        <v>1</v>
      </c>
      <c r="E10" s="3">
        <v>3</v>
      </c>
    </row>
    <row r="11" spans="1:5" x14ac:dyDescent="0.2">
      <c r="A11" s="3" t="s">
        <v>6</v>
      </c>
      <c r="B11" s="3">
        <v>76.393443000000005</v>
      </c>
      <c r="C11" s="3">
        <v>1</v>
      </c>
      <c r="D11" s="3">
        <v>1</v>
      </c>
      <c r="E11" s="3">
        <v>3</v>
      </c>
    </row>
    <row r="12" spans="1:5" x14ac:dyDescent="0.2">
      <c r="A12" s="3" t="s">
        <v>6</v>
      </c>
      <c r="B12" s="3">
        <v>100</v>
      </c>
      <c r="C12" s="3">
        <v>1</v>
      </c>
      <c r="D12" s="3">
        <v>1</v>
      </c>
      <c r="E12" s="3">
        <v>3</v>
      </c>
    </row>
    <row r="13" spans="1:5" x14ac:dyDescent="0.2">
      <c r="A13" s="3" t="s">
        <v>6</v>
      </c>
      <c r="B13" s="3">
        <v>72.649573000000004</v>
      </c>
      <c r="C13" s="3">
        <v>1</v>
      </c>
      <c r="D13" s="3">
        <v>1</v>
      </c>
      <c r="E13" s="3">
        <v>3</v>
      </c>
    </row>
    <row r="14" spans="1:5" x14ac:dyDescent="0.2">
      <c r="A14" s="3" t="s">
        <v>6</v>
      </c>
      <c r="B14" s="3">
        <v>75.367647000000005</v>
      </c>
      <c r="C14" s="3">
        <v>1</v>
      </c>
      <c r="D14" s="3">
        <v>1</v>
      </c>
      <c r="E14" s="3">
        <v>3</v>
      </c>
    </row>
    <row r="15" spans="1:5" x14ac:dyDescent="0.2">
      <c r="A15" s="3" t="s">
        <v>6</v>
      </c>
      <c r="B15" s="3">
        <v>86.428571000000005</v>
      </c>
      <c r="C15" s="3">
        <v>1</v>
      </c>
      <c r="D15" s="3">
        <v>1</v>
      </c>
      <c r="E15" s="3">
        <v>3</v>
      </c>
    </row>
    <row r="16" spans="1:5" x14ac:dyDescent="0.2">
      <c r="A16" s="3" t="s">
        <v>6</v>
      </c>
      <c r="B16" s="3">
        <v>93.279570000000007</v>
      </c>
      <c r="C16" s="3">
        <v>1</v>
      </c>
      <c r="D16" s="3">
        <v>1</v>
      </c>
      <c r="E16" s="3">
        <v>3</v>
      </c>
    </row>
    <row r="17" spans="1:5" x14ac:dyDescent="0.2">
      <c r="A17" s="3" t="s">
        <v>6</v>
      </c>
      <c r="B17" s="3">
        <v>90.047393</v>
      </c>
      <c r="C17" s="3">
        <v>1</v>
      </c>
      <c r="D17" s="3">
        <v>1</v>
      </c>
      <c r="E17" s="3">
        <v>3</v>
      </c>
    </row>
    <row r="18" spans="1:5" x14ac:dyDescent="0.2">
      <c r="A18" s="3" t="s">
        <v>6</v>
      </c>
      <c r="B18" s="3">
        <v>90.256410000000002</v>
      </c>
      <c r="C18" s="3">
        <v>1</v>
      </c>
      <c r="D18" s="3">
        <v>1</v>
      </c>
      <c r="E18" s="3">
        <v>3</v>
      </c>
    </row>
    <row r="19" spans="1:5" x14ac:dyDescent="0.2">
      <c r="A19" s="3" t="s">
        <v>6</v>
      </c>
      <c r="B19" s="3">
        <v>75.384614999999997</v>
      </c>
      <c r="C19" s="3">
        <v>1</v>
      </c>
      <c r="D19" s="3">
        <v>1</v>
      </c>
      <c r="E19" s="3">
        <v>3</v>
      </c>
    </row>
    <row r="20" spans="1:5" x14ac:dyDescent="0.2">
      <c r="A20" s="3" t="s">
        <v>6</v>
      </c>
      <c r="B20" s="3">
        <v>79.411765000000003</v>
      </c>
      <c r="C20" s="3">
        <v>1</v>
      </c>
      <c r="D20" s="3">
        <v>1</v>
      </c>
      <c r="E20" s="3">
        <v>3</v>
      </c>
    </row>
    <row r="21" spans="1:5" x14ac:dyDescent="0.2">
      <c r="A21" s="3" t="s">
        <v>6</v>
      </c>
      <c r="B21" s="3">
        <v>93.301434999999998</v>
      </c>
      <c r="C21" s="3">
        <v>1</v>
      </c>
      <c r="D21" s="3">
        <v>1</v>
      </c>
      <c r="E21" s="3">
        <v>3</v>
      </c>
    </row>
    <row r="22" spans="1:5" x14ac:dyDescent="0.2">
      <c r="A22" s="3" t="s">
        <v>6</v>
      </c>
      <c r="B22" s="3">
        <v>87.128713000000005</v>
      </c>
      <c r="C22" s="3">
        <v>1</v>
      </c>
      <c r="D22" s="3">
        <v>1</v>
      </c>
      <c r="E22" s="3">
        <v>3</v>
      </c>
    </row>
    <row r="23" spans="1:5" x14ac:dyDescent="0.2">
      <c r="A23" s="3" t="s">
        <v>19</v>
      </c>
      <c r="B23" s="3">
        <v>85.714286000000001</v>
      </c>
      <c r="C23" s="3">
        <v>1</v>
      </c>
      <c r="D23" s="3">
        <v>1</v>
      </c>
      <c r="E23" s="3">
        <v>3</v>
      </c>
    </row>
    <row r="24" spans="1:5" x14ac:dyDescent="0.2">
      <c r="A24" s="3" t="s">
        <v>19</v>
      </c>
      <c r="B24" s="3">
        <v>97.663550999999998</v>
      </c>
      <c r="C24" s="3">
        <v>1</v>
      </c>
      <c r="D24" s="3">
        <v>1</v>
      </c>
      <c r="E24" s="3">
        <v>3</v>
      </c>
    </row>
    <row r="25" spans="1:5" x14ac:dyDescent="0.2">
      <c r="A25" s="3" t="s">
        <v>19</v>
      </c>
      <c r="B25" s="3">
        <v>100</v>
      </c>
      <c r="C25" s="3">
        <v>1</v>
      </c>
      <c r="D25" s="3">
        <v>1</v>
      </c>
      <c r="E25" s="3">
        <v>3</v>
      </c>
    </row>
    <row r="26" spans="1:5" x14ac:dyDescent="0.2">
      <c r="A26" s="3" t="s">
        <v>19</v>
      </c>
      <c r="B26" s="3">
        <v>96.590908999999996</v>
      </c>
      <c r="C26" s="3">
        <v>1</v>
      </c>
      <c r="D26" s="3">
        <v>1</v>
      </c>
      <c r="E26" s="3">
        <v>3</v>
      </c>
    </row>
    <row r="27" spans="1:5" x14ac:dyDescent="0.2">
      <c r="A27" s="3" t="s">
        <v>19</v>
      </c>
      <c r="B27" s="3">
        <v>93</v>
      </c>
      <c r="C27" s="3">
        <v>1</v>
      </c>
      <c r="D27" s="3">
        <v>1</v>
      </c>
      <c r="E27" s="3">
        <v>3</v>
      </c>
    </row>
    <row r="28" spans="1:5" x14ac:dyDescent="0.2">
      <c r="A28" s="3" t="s">
        <v>19</v>
      </c>
      <c r="B28" s="3">
        <v>100</v>
      </c>
      <c r="C28" s="3">
        <v>1</v>
      </c>
      <c r="D28" s="3">
        <v>1</v>
      </c>
      <c r="E28" s="3">
        <v>3</v>
      </c>
    </row>
    <row r="29" spans="1:5" x14ac:dyDescent="0.2">
      <c r="A29" s="3" t="s">
        <v>19</v>
      </c>
      <c r="B29" s="3">
        <v>92.105263000000008</v>
      </c>
      <c r="C29" s="3">
        <v>1</v>
      </c>
      <c r="D29" s="3">
        <v>1</v>
      </c>
      <c r="E29" s="3">
        <v>3</v>
      </c>
    </row>
    <row r="30" spans="1:5" x14ac:dyDescent="0.2">
      <c r="A30" s="3" t="s">
        <v>19</v>
      </c>
      <c r="B30" s="3">
        <v>95.061728000000002</v>
      </c>
      <c r="C30" s="3">
        <v>1</v>
      </c>
      <c r="D30" s="3">
        <v>1</v>
      </c>
      <c r="E30" s="3">
        <v>3</v>
      </c>
    </row>
    <row r="31" spans="1:5" x14ac:dyDescent="0.2">
      <c r="A31" s="3" t="s">
        <v>19</v>
      </c>
      <c r="B31" s="3">
        <v>57.342656999999996</v>
      </c>
      <c r="C31" s="3">
        <v>1</v>
      </c>
      <c r="D31" s="3">
        <v>1</v>
      </c>
      <c r="E31" s="3">
        <v>3</v>
      </c>
    </row>
    <row r="32" spans="1:5" x14ac:dyDescent="0.2">
      <c r="A32" s="3" t="s">
        <v>19</v>
      </c>
      <c r="B32" s="3">
        <v>94.270832999999996</v>
      </c>
      <c r="C32" s="3">
        <v>1</v>
      </c>
      <c r="D32" s="3">
        <v>1</v>
      </c>
      <c r="E32" s="3">
        <v>3</v>
      </c>
    </row>
    <row r="33" spans="1:5" x14ac:dyDescent="0.2">
      <c r="A33" s="3" t="s">
        <v>19</v>
      </c>
      <c r="B33" s="3">
        <v>87.012986999999995</v>
      </c>
      <c r="C33" s="3">
        <v>1</v>
      </c>
      <c r="D33" s="3">
        <v>1</v>
      </c>
      <c r="E33" s="3">
        <v>3</v>
      </c>
    </row>
    <row r="34" spans="1:5" x14ac:dyDescent="0.2">
      <c r="A34" s="3" t="s">
        <v>19</v>
      </c>
      <c r="B34" s="3">
        <v>92.248062000000004</v>
      </c>
      <c r="C34" s="3">
        <v>1</v>
      </c>
      <c r="D34" s="3">
        <v>1</v>
      </c>
      <c r="E34" s="3">
        <v>3</v>
      </c>
    </row>
    <row r="35" spans="1:5" x14ac:dyDescent="0.2">
      <c r="A35" s="3" t="s">
        <v>19</v>
      </c>
      <c r="B35" s="3">
        <v>97.714286000000001</v>
      </c>
      <c r="C35" s="3">
        <v>1</v>
      </c>
      <c r="D35" s="3">
        <v>1</v>
      </c>
      <c r="E35" s="3">
        <v>3</v>
      </c>
    </row>
    <row r="36" spans="1:5" x14ac:dyDescent="0.2">
      <c r="A36" s="3" t="s">
        <v>19</v>
      </c>
      <c r="B36" s="3">
        <v>97.71987</v>
      </c>
      <c r="C36" s="3">
        <v>1</v>
      </c>
      <c r="D36" s="3">
        <v>1</v>
      </c>
      <c r="E36" s="3">
        <v>3</v>
      </c>
    </row>
    <row r="37" spans="1:5" x14ac:dyDescent="0.2">
      <c r="A37" s="3" t="s">
        <v>19</v>
      </c>
      <c r="B37" s="3">
        <v>93.037974999999989</v>
      </c>
      <c r="C37" s="3">
        <v>1</v>
      </c>
      <c r="D37" s="3">
        <v>1</v>
      </c>
      <c r="E37" s="3">
        <v>3</v>
      </c>
    </row>
    <row r="38" spans="1:5" x14ac:dyDescent="0.2">
      <c r="A38" s="3" t="s">
        <v>19</v>
      </c>
      <c r="B38" s="3">
        <v>91.752577000000002</v>
      </c>
      <c r="C38" s="3">
        <v>1</v>
      </c>
      <c r="D38" s="3">
        <v>1</v>
      </c>
      <c r="E38" s="3">
        <v>3</v>
      </c>
    </row>
    <row r="39" spans="1:5" x14ac:dyDescent="0.2">
      <c r="A39" s="3" t="s">
        <v>19</v>
      </c>
      <c r="B39" s="3">
        <v>83.823528999999994</v>
      </c>
      <c r="C39" s="3">
        <v>1</v>
      </c>
      <c r="D39" s="3">
        <v>1</v>
      </c>
      <c r="E39" s="3">
        <v>3</v>
      </c>
    </row>
    <row r="40" spans="1:5" x14ac:dyDescent="0.2">
      <c r="A40" s="3" t="s">
        <v>19</v>
      </c>
      <c r="B40" s="3">
        <v>84.5</v>
      </c>
      <c r="C40" s="3">
        <v>1</v>
      </c>
      <c r="D40" s="3">
        <v>1</v>
      </c>
      <c r="E40" s="3">
        <v>3</v>
      </c>
    </row>
    <row r="41" spans="1:5" x14ac:dyDescent="0.2">
      <c r="A41" s="3" t="s">
        <v>19</v>
      </c>
      <c r="B41" s="3">
        <v>100</v>
      </c>
      <c r="C41" s="3">
        <v>1</v>
      </c>
      <c r="D41" s="3">
        <v>1</v>
      </c>
      <c r="E41" s="3">
        <v>3</v>
      </c>
    </row>
    <row r="42" spans="1:5" x14ac:dyDescent="0.2">
      <c r="A42" s="3" t="s">
        <v>19</v>
      </c>
      <c r="B42" s="3">
        <v>90.223463999999993</v>
      </c>
      <c r="C42" s="3">
        <v>1</v>
      </c>
      <c r="D42" s="3">
        <v>1</v>
      </c>
      <c r="E42" s="3">
        <v>3</v>
      </c>
    </row>
    <row r="43" spans="1:5" x14ac:dyDescent="0.2">
      <c r="A43" s="3" t="s">
        <v>19</v>
      </c>
      <c r="B43" s="3">
        <v>92</v>
      </c>
      <c r="C43" s="3">
        <v>1</v>
      </c>
      <c r="D43" s="3">
        <v>1</v>
      </c>
      <c r="E43" s="3">
        <v>3</v>
      </c>
    </row>
    <row r="44" spans="1:5" x14ac:dyDescent="0.2">
      <c r="A44" s="3" t="s">
        <v>18</v>
      </c>
      <c r="B44" s="3">
        <v>96.16666699999999</v>
      </c>
      <c r="C44" s="3">
        <v>1</v>
      </c>
      <c r="D44" s="3">
        <v>1</v>
      </c>
      <c r="E44" s="3">
        <v>3</v>
      </c>
    </row>
    <row r="45" spans="1:5" x14ac:dyDescent="0.2">
      <c r="A45" s="3" t="s">
        <v>18</v>
      </c>
      <c r="B45" s="3">
        <v>100</v>
      </c>
      <c r="C45" s="3">
        <v>1</v>
      </c>
      <c r="D45" s="3">
        <v>1</v>
      </c>
      <c r="E45" s="3">
        <v>3</v>
      </c>
    </row>
    <row r="46" spans="1:5" x14ac:dyDescent="0.2">
      <c r="A46" s="3" t="s">
        <v>18</v>
      </c>
      <c r="B46" s="3">
        <v>100</v>
      </c>
      <c r="C46" s="3">
        <v>1</v>
      </c>
      <c r="D46" s="3">
        <v>1</v>
      </c>
      <c r="E46" s="3">
        <v>3</v>
      </c>
    </row>
    <row r="47" spans="1:5" x14ac:dyDescent="0.2">
      <c r="A47" s="3" t="s">
        <v>18</v>
      </c>
      <c r="B47" s="3">
        <v>97.34513299999999</v>
      </c>
      <c r="C47" s="3">
        <v>1</v>
      </c>
      <c r="D47" s="3">
        <v>1</v>
      </c>
      <c r="E47" s="3">
        <v>3</v>
      </c>
    </row>
    <row r="48" spans="1:5" x14ac:dyDescent="0.2">
      <c r="A48" s="3" t="s">
        <v>18</v>
      </c>
      <c r="B48" s="3">
        <v>54.621848999999997</v>
      </c>
      <c r="C48" s="3">
        <v>1</v>
      </c>
      <c r="D48" s="3">
        <v>1</v>
      </c>
      <c r="E48" s="3">
        <v>3</v>
      </c>
    </row>
    <row r="49" spans="1:5" x14ac:dyDescent="0.2">
      <c r="A49" s="3" t="s">
        <v>18</v>
      </c>
      <c r="B49" s="3">
        <v>95.979899000000003</v>
      </c>
      <c r="C49" s="3">
        <v>1</v>
      </c>
      <c r="D49" s="3">
        <v>1</v>
      </c>
      <c r="E49" s="3">
        <v>3</v>
      </c>
    </row>
    <row r="50" spans="1:5" x14ac:dyDescent="0.2">
      <c r="A50" s="3" t="s">
        <v>18</v>
      </c>
      <c r="B50" s="3">
        <v>90.625</v>
      </c>
      <c r="C50" s="3">
        <v>1</v>
      </c>
      <c r="D50" s="3">
        <v>1</v>
      </c>
      <c r="E50" s="3">
        <v>3</v>
      </c>
    </row>
    <row r="51" spans="1:5" x14ac:dyDescent="0.2">
      <c r="A51" s="3" t="s">
        <v>18</v>
      </c>
      <c r="B51" s="3">
        <v>87.5</v>
      </c>
      <c r="C51" s="3">
        <v>1</v>
      </c>
      <c r="D51" s="3">
        <v>1</v>
      </c>
      <c r="E51" s="3">
        <v>3</v>
      </c>
    </row>
    <row r="52" spans="1:5" x14ac:dyDescent="0.2">
      <c r="A52" s="3" t="s">
        <v>18</v>
      </c>
      <c r="B52" s="3">
        <v>100</v>
      </c>
      <c r="C52" s="3">
        <v>1</v>
      </c>
      <c r="D52" s="3">
        <v>1</v>
      </c>
      <c r="E52" s="3">
        <v>3</v>
      </c>
    </row>
    <row r="53" spans="1:5" x14ac:dyDescent="0.2">
      <c r="A53" s="3" t="s">
        <v>18</v>
      </c>
      <c r="B53" s="3">
        <v>95.637584000000004</v>
      </c>
      <c r="C53" s="3">
        <v>1</v>
      </c>
      <c r="D53" s="3">
        <v>1</v>
      </c>
      <c r="E53" s="3">
        <v>3</v>
      </c>
    </row>
    <row r="54" spans="1:5" x14ac:dyDescent="0.2">
      <c r="A54" s="3" t="s">
        <v>18</v>
      </c>
      <c r="B54" s="3">
        <v>95.390782000000002</v>
      </c>
      <c r="C54" s="3">
        <v>1</v>
      </c>
      <c r="D54" s="3">
        <v>1</v>
      </c>
      <c r="E54" s="3">
        <v>3</v>
      </c>
    </row>
    <row r="55" spans="1:5" x14ac:dyDescent="0.2">
      <c r="A55" s="3" t="s">
        <v>18</v>
      </c>
      <c r="B55" s="3">
        <v>91.40625</v>
      </c>
      <c r="C55" s="3">
        <v>1</v>
      </c>
      <c r="D55" s="3">
        <v>1</v>
      </c>
      <c r="E55" s="3">
        <v>3</v>
      </c>
    </row>
    <row r="56" spans="1:5" x14ac:dyDescent="0.2">
      <c r="A56" s="3" t="s">
        <v>18</v>
      </c>
      <c r="B56" s="3">
        <v>66.129031999999995</v>
      </c>
      <c r="C56" s="3">
        <v>1</v>
      </c>
      <c r="D56" s="3">
        <v>1</v>
      </c>
      <c r="E56" s="3">
        <v>3</v>
      </c>
    </row>
    <row r="57" spans="1:5" x14ac:dyDescent="0.2">
      <c r="A57" s="3" t="s">
        <v>18</v>
      </c>
      <c r="B57" s="3">
        <v>95.522388000000007</v>
      </c>
      <c r="C57" s="3">
        <v>1</v>
      </c>
      <c r="D57" s="3">
        <v>1</v>
      </c>
      <c r="E57" s="3">
        <v>3</v>
      </c>
    </row>
    <row r="58" spans="1:5" x14ac:dyDescent="0.2">
      <c r="A58" s="3" t="s">
        <v>18</v>
      </c>
      <c r="B58" s="3">
        <v>95.287957999999989</v>
      </c>
      <c r="C58" s="3">
        <v>1</v>
      </c>
      <c r="D58" s="3">
        <v>1</v>
      </c>
      <c r="E58" s="3">
        <v>3</v>
      </c>
    </row>
    <row r="59" spans="1:5" x14ac:dyDescent="0.2">
      <c r="A59" s="3" t="s">
        <v>18</v>
      </c>
      <c r="B59" s="3">
        <v>94</v>
      </c>
      <c r="C59" s="3">
        <v>0</v>
      </c>
      <c r="D59" s="3">
        <v>1</v>
      </c>
      <c r="E59" s="3">
        <v>3</v>
      </c>
    </row>
    <row r="60" spans="1:5" x14ac:dyDescent="0.2">
      <c r="A60" s="3" t="s">
        <v>18</v>
      </c>
      <c r="B60" s="3">
        <v>79.591836999999998</v>
      </c>
      <c r="C60" s="3">
        <v>1</v>
      </c>
      <c r="D60" s="3">
        <v>1</v>
      </c>
      <c r="E60" s="3">
        <v>3</v>
      </c>
    </row>
    <row r="61" spans="1:5" x14ac:dyDescent="0.2">
      <c r="A61" s="3" t="s">
        <v>18</v>
      </c>
      <c r="B61" s="3">
        <v>88.333332999999996</v>
      </c>
      <c r="C61" s="3">
        <v>1</v>
      </c>
      <c r="D61" s="3">
        <v>1</v>
      </c>
      <c r="E61" s="3">
        <v>3</v>
      </c>
    </row>
    <row r="62" spans="1:5" x14ac:dyDescent="0.2">
      <c r="A62" s="3" t="s">
        <v>18</v>
      </c>
      <c r="B62" s="3">
        <v>100</v>
      </c>
      <c r="C62" s="3">
        <v>1</v>
      </c>
      <c r="D62" s="3">
        <v>1</v>
      </c>
      <c r="E62" s="3">
        <v>3</v>
      </c>
    </row>
    <row r="63" spans="1:5" x14ac:dyDescent="0.2">
      <c r="A63" s="3" t="s">
        <v>18</v>
      </c>
      <c r="B63" s="3">
        <v>93.670885999999996</v>
      </c>
      <c r="C63" s="3">
        <v>1</v>
      </c>
      <c r="D63" s="3">
        <v>1</v>
      </c>
      <c r="E63" s="3">
        <v>3</v>
      </c>
    </row>
    <row r="64" spans="1:5" x14ac:dyDescent="0.2">
      <c r="A64" s="3" t="s">
        <v>18</v>
      </c>
      <c r="B64" s="3">
        <v>95.419847000000004</v>
      </c>
      <c r="C64" s="3">
        <v>1</v>
      </c>
      <c r="D64" s="3">
        <v>1</v>
      </c>
      <c r="E64" s="3">
        <v>3</v>
      </c>
    </row>
    <row r="65" spans="1:5" x14ac:dyDescent="0.2">
      <c r="A65" s="3" t="s">
        <v>18</v>
      </c>
      <c r="B65" s="3">
        <v>100</v>
      </c>
      <c r="C65" s="3">
        <v>1</v>
      </c>
      <c r="D65" s="3">
        <v>1</v>
      </c>
      <c r="E65" s="3">
        <v>3</v>
      </c>
    </row>
    <row r="66" spans="1:5" x14ac:dyDescent="0.2">
      <c r="A66" t="s">
        <v>18</v>
      </c>
      <c r="B66">
        <v>91.208791208791212</v>
      </c>
      <c r="C66" s="3">
        <v>1</v>
      </c>
      <c r="D66" s="3">
        <v>1</v>
      </c>
      <c r="E66" s="3">
        <v>5</v>
      </c>
    </row>
    <row r="67" spans="1:5" x14ac:dyDescent="0.2">
      <c r="A67" t="s">
        <v>18</v>
      </c>
      <c r="B67">
        <v>65.116279069767444</v>
      </c>
      <c r="C67" s="3">
        <v>1</v>
      </c>
      <c r="D67" s="3">
        <v>1</v>
      </c>
      <c r="E67" s="3">
        <v>5</v>
      </c>
    </row>
    <row r="68" spans="1:5" x14ac:dyDescent="0.2">
      <c r="A68" t="s">
        <v>18</v>
      </c>
      <c r="B68">
        <v>80</v>
      </c>
      <c r="C68" s="3">
        <v>1</v>
      </c>
      <c r="D68" s="3">
        <v>1</v>
      </c>
      <c r="E68" s="3">
        <v>5</v>
      </c>
    </row>
    <row r="69" spans="1:5" x14ac:dyDescent="0.2">
      <c r="A69" t="s">
        <v>18</v>
      </c>
      <c r="B69">
        <v>68.46473029045643</v>
      </c>
      <c r="C69" s="3">
        <v>1</v>
      </c>
      <c r="D69" s="3">
        <v>1</v>
      </c>
      <c r="E69" s="3">
        <v>5</v>
      </c>
    </row>
    <row r="70" spans="1:5" x14ac:dyDescent="0.2">
      <c r="A70" t="s">
        <v>18</v>
      </c>
      <c r="B70">
        <v>73.964497041420117</v>
      </c>
      <c r="C70" s="3">
        <v>1</v>
      </c>
      <c r="D70" s="3">
        <v>1</v>
      </c>
      <c r="E70" s="3">
        <v>5</v>
      </c>
    </row>
    <row r="71" spans="1:5" x14ac:dyDescent="0.2">
      <c r="A71" t="s">
        <v>18</v>
      </c>
      <c r="B71">
        <v>65.128205128205124</v>
      </c>
      <c r="C71" s="3">
        <v>1</v>
      </c>
      <c r="D71" s="3">
        <v>1</v>
      </c>
      <c r="E71" s="3">
        <v>5</v>
      </c>
    </row>
    <row r="72" spans="1:5" x14ac:dyDescent="0.2">
      <c r="A72" t="s">
        <v>18</v>
      </c>
      <c r="B72">
        <v>100</v>
      </c>
      <c r="C72" s="3">
        <v>1</v>
      </c>
      <c r="D72" s="3">
        <v>1</v>
      </c>
      <c r="E72" s="3">
        <v>5</v>
      </c>
    </row>
    <row r="73" spans="1:5" x14ac:dyDescent="0.2">
      <c r="A73" t="s">
        <v>18</v>
      </c>
      <c r="B73">
        <v>100</v>
      </c>
      <c r="C73" s="3">
        <v>1</v>
      </c>
      <c r="D73" s="3">
        <v>1</v>
      </c>
      <c r="E73" s="3">
        <v>5</v>
      </c>
    </row>
    <row r="74" spans="1:5" x14ac:dyDescent="0.2">
      <c r="A74" t="s">
        <v>18</v>
      </c>
      <c r="B74">
        <v>98.194130925507906</v>
      </c>
      <c r="C74" s="3">
        <v>1</v>
      </c>
      <c r="D74" s="3">
        <v>1</v>
      </c>
      <c r="E74" s="3">
        <v>5</v>
      </c>
    </row>
    <row r="75" spans="1:5" x14ac:dyDescent="0.2">
      <c r="A75" t="s">
        <v>18</v>
      </c>
      <c r="B75">
        <v>100</v>
      </c>
      <c r="C75" s="3">
        <v>1</v>
      </c>
      <c r="D75" s="3">
        <v>1</v>
      </c>
      <c r="E75" s="3">
        <v>5</v>
      </c>
    </row>
    <row r="76" spans="1:5" x14ac:dyDescent="0.2">
      <c r="A76" t="s">
        <v>18</v>
      </c>
      <c r="B76">
        <v>75.520833333333343</v>
      </c>
      <c r="C76" s="3">
        <v>1</v>
      </c>
      <c r="D76" s="3">
        <v>1</v>
      </c>
      <c r="E76" s="3">
        <v>5</v>
      </c>
    </row>
    <row r="77" spans="1:5" x14ac:dyDescent="0.2">
      <c r="A77" t="s">
        <v>18</v>
      </c>
      <c r="B77">
        <v>88.028169014084511</v>
      </c>
      <c r="C77" s="3">
        <v>1</v>
      </c>
      <c r="D77" s="3">
        <v>1</v>
      </c>
      <c r="E77" s="3">
        <v>5</v>
      </c>
    </row>
    <row r="78" spans="1:5" x14ac:dyDescent="0.2">
      <c r="A78" t="s">
        <v>18</v>
      </c>
      <c r="B78">
        <v>100</v>
      </c>
      <c r="C78" s="3">
        <v>1</v>
      </c>
      <c r="D78" s="3">
        <v>1</v>
      </c>
      <c r="E78" s="3">
        <v>5</v>
      </c>
    </row>
    <row r="79" spans="1:5" x14ac:dyDescent="0.2">
      <c r="A79" t="s">
        <v>18</v>
      </c>
      <c r="B79">
        <v>77.166666666666657</v>
      </c>
      <c r="C79">
        <v>0</v>
      </c>
      <c r="D79" s="3">
        <v>1</v>
      </c>
      <c r="E79" s="3">
        <v>5</v>
      </c>
    </row>
    <row r="80" spans="1:5" x14ac:dyDescent="0.2">
      <c r="A80" t="s">
        <v>18</v>
      </c>
      <c r="B80">
        <v>85.123966942148769</v>
      </c>
      <c r="C80">
        <v>1</v>
      </c>
      <c r="D80" s="3">
        <v>1</v>
      </c>
      <c r="E80" s="3">
        <v>5</v>
      </c>
    </row>
    <row r="81" spans="1:5" x14ac:dyDescent="0.2">
      <c r="A81" t="s">
        <v>18</v>
      </c>
      <c r="B81">
        <v>61.53846153846154</v>
      </c>
      <c r="C81">
        <v>1</v>
      </c>
      <c r="D81" s="3">
        <v>1</v>
      </c>
      <c r="E81" s="3">
        <v>5</v>
      </c>
    </row>
    <row r="82" spans="1:5" x14ac:dyDescent="0.2">
      <c r="A82" t="s">
        <v>18</v>
      </c>
      <c r="B82">
        <v>61.29032258064516</v>
      </c>
      <c r="C82">
        <v>1</v>
      </c>
      <c r="D82" s="3">
        <v>1</v>
      </c>
      <c r="E82" s="3">
        <v>5</v>
      </c>
    </row>
    <row r="83" spans="1:5" x14ac:dyDescent="0.2">
      <c r="A83" t="s">
        <v>18</v>
      </c>
      <c r="B83">
        <v>73.873873873873876</v>
      </c>
      <c r="C83">
        <v>1</v>
      </c>
      <c r="D83" s="3">
        <v>1</v>
      </c>
      <c r="E83" s="3">
        <v>5</v>
      </c>
    </row>
    <row r="84" spans="1:5" x14ac:dyDescent="0.2">
      <c r="A84" t="s">
        <v>18</v>
      </c>
      <c r="B84">
        <v>97.422680412371136</v>
      </c>
      <c r="C84">
        <v>1</v>
      </c>
      <c r="D84" s="3">
        <v>1</v>
      </c>
      <c r="E84" s="3">
        <v>5</v>
      </c>
    </row>
    <row r="85" spans="1:5" x14ac:dyDescent="0.2">
      <c r="A85" t="s">
        <v>18</v>
      </c>
      <c r="B85">
        <v>38.70967741935484</v>
      </c>
      <c r="C85">
        <v>1</v>
      </c>
      <c r="D85" s="3">
        <v>1</v>
      </c>
      <c r="E85" s="3">
        <v>5</v>
      </c>
    </row>
    <row r="86" spans="1:5" x14ac:dyDescent="0.2">
      <c r="A86" t="s">
        <v>18</v>
      </c>
      <c r="B86">
        <v>75.130434782608688</v>
      </c>
      <c r="C86">
        <v>1</v>
      </c>
      <c r="D86" s="3">
        <v>1</v>
      </c>
      <c r="E86" s="3">
        <v>5</v>
      </c>
    </row>
    <row r="87" spans="1:5" x14ac:dyDescent="0.2">
      <c r="A87" t="s">
        <v>18</v>
      </c>
      <c r="B87">
        <v>97.849462365591393</v>
      </c>
      <c r="C87">
        <v>1</v>
      </c>
      <c r="D87" s="3">
        <v>1</v>
      </c>
      <c r="E87" s="3">
        <v>5</v>
      </c>
    </row>
    <row r="88" spans="1:5" x14ac:dyDescent="0.2">
      <c r="A88" t="s">
        <v>18</v>
      </c>
      <c r="B88">
        <v>100</v>
      </c>
      <c r="C88">
        <v>1</v>
      </c>
      <c r="D88" s="3">
        <v>1</v>
      </c>
      <c r="E88" s="3">
        <v>5</v>
      </c>
    </row>
    <row r="89" spans="1:5" x14ac:dyDescent="0.2">
      <c r="A89" t="s">
        <v>18</v>
      </c>
      <c r="B89">
        <v>79.629629629629633</v>
      </c>
      <c r="C89">
        <v>1</v>
      </c>
      <c r="D89" s="3">
        <v>1</v>
      </c>
      <c r="E89" s="3">
        <v>5</v>
      </c>
    </row>
    <row r="90" spans="1:5" x14ac:dyDescent="0.2">
      <c r="A90" t="s">
        <v>18</v>
      </c>
      <c r="B90">
        <v>83.66013071895425</v>
      </c>
      <c r="C90">
        <v>1</v>
      </c>
      <c r="D90" s="3">
        <v>1</v>
      </c>
      <c r="E90" s="3">
        <v>5</v>
      </c>
    </row>
    <row r="91" spans="1:5" x14ac:dyDescent="0.2">
      <c r="A91" t="s">
        <v>18</v>
      </c>
      <c r="B91">
        <v>59.523809523809526</v>
      </c>
      <c r="C91">
        <v>1</v>
      </c>
      <c r="D91" s="3">
        <v>1</v>
      </c>
      <c r="E91" s="3">
        <v>5</v>
      </c>
    </row>
    <row r="92" spans="1:5" x14ac:dyDescent="0.2">
      <c r="A92" t="s">
        <v>18</v>
      </c>
      <c r="B92">
        <v>95.555555555555557</v>
      </c>
      <c r="C92">
        <v>1</v>
      </c>
      <c r="D92" s="3">
        <v>1</v>
      </c>
      <c r="E92" s="3">
        <v>5</v>
      </c>
    </row>
    <row r="93" spans="1:5" x14ac:dyDescent="0.2">
      <c r="A93" t="s">
        <v>18</v>
      </c>
      <c r="B93">
        <v>83.333333333333343</v>
      </c>
      <c r="C93">
        <v>1</v>
      </c>
      <c r="D93" s="3">
        <v>1</v>
      </c>
      <c r="E93" s="3">
        <v>5</v>
      </c>
    </row>
    <row r="94" spans="1:5" x14ac:dyDescent="0.2">
      <c r="A94" t="s">
        <v>18</v>
      </c>
      <c r="B94">
        <v>93.050193050193059</v>
      </c>
      <c r="C94">
        <v>1</v>
      </c>
      <c r="D94" s="3">
        <v>1</v>
      </c>
      <c r="E94" s="3">
        <v>5</v>
      </c>
    </row>
    <row r="95" spans="1:5" x14ac:dyDescent="0.2">
      <c r="A95" t="s">
        <v>18</v>
      </c>
      <c r="B95">
        <v>95.412844036697251</v>
      </c>
      <c r="C95">
        <v>1</v>
      </c>
      <c r="D95" s="3">
        <v>1</v>
      </c>
      <c r="E95" s="3">
        <v>5</v>
      </c>
    </row>
    <row r="96" spans="1:5" x14ac:dyDescent="0.2">
      <c r="A96" t="s">
        <v>18</v>
      </c>
      <c r="B96">
        <v>100</v>
      </c>
      <c r="C96">
        <v>1</v>
      </c>
      <c r="D96" s="3">
        <v>1</v>
      </c>
      <c r="E96" s="3">
        <v>5</v>
      </c>
    </row>
    <row r="97" spans="1:5" x14ac:dyDescent="0.2">
      <c r="A97" t="s">
        <v>6</v>
      </c>
      <c r="B97">
        <v>86.111111111111114</v>
      </c>
      <c r="C97">
        <v>1</v>
      </c>
      <c r="D97" s="3">
        <v>1</v>
      </c>
      <c r="E97" s="3">
        <v>5</v>
      </c>
    </row>
    <row r="98" spans="1:5" x14ac:dyDescent="0.2">
      <c r="A98" t="s">
        <v>6</v>
      </c>
      <c r="B98">
        <v>100</v>
      </c>
      <c r="C98">
        <v>1</v>
      </c>
      <c r="D98" s="3">
        <v>1</v>
      </c>
      <c r="E98" s="3">
        <v>5</v>
      </c>
    </row>
    <row r="99" spans="1:5" x14ac:dyDescent="0.2">
      <c r="A99" t="s">
        <v>6</v>
      </c>
      <c r="B99">
        <v>100</v>
      </c>
      <c r="C99">
        <v>1</v>
      </c>
      <c r="D99" s="3">
        <v>1</v>
      </c>
      <c r="E99" s="3">
        <v>5</v>
      </c>
    </row>
    <row r="100" spans="1:5" x14ac:dyDescent="0.2">
      <c r="A100" t="s">
        <v>6</v>
      </c>
      <c r="B100">
        <v>80</v>
      </c>
      <c r="C100">
        <v>1</v>
      </c>
      <c r="D100" s="3">
        <v>1</v>
      </c>
      <c r="E100" s="3">
        <v>5</v>
      </c>
    </row>
    <row r="101" spans="1:5" x14ac:dyDescent="0.2">
      <c r="A101" t="s">
        <v>6</v>
      </c>
      <c r="B101">
        <v>100</v>
      </c>
      <c r="C101">
        <v>1</v>
      </c>
      <c r="D101" s="3">
        <v>1</v>
      </c>
      <c r="E101" s="3">
        <v>5</v>
      </c>
    </row>
    <row r="102" spans="1:5" x14ac:dyDescent="0.2">
      <c r="A102" t="s">
        <v>6</v>
      </c>
      <c r="B102">
        <v>88.888888888888886</v>
      </c>
      <c r="C102">
        <v>1</v>
      </c>
      <c r="D102" s="3">
        <v>1</v>
      </c>
      <c r="E102" s="3">
        <v>5</v>
      </c>
    </row>
    <row r="103" spans="1:5" x14ac:dyDescent="0.2">
      <c r="A103" t="s">
        <v>6</v>
      </c>
      <c r="B103">
        <v>100</v>
      </c>
      <c r="C103">
        <v>1</v>
      </c>
      <c r="D103" s="3">
        <v>1</v>
      </c>
      <c r="E103" s="3">
        <v>5</v>
      </c>
    </row>
    <row r="104" spans="1:5" x14ac:dyDescent="0.2">
      <c r="A104" t="s">
        <v>6</v>
      </c>
      <c r="B104">
        <v>99.290780141843967</v>
      </c>
      <c r="C104">
        <v>1</v>
      </c>
      <c r="D104" s="3">
        <v>1</v>
      </c>
      <c r="E104" s="3">
        <v>5</v>
      </c>
    </row>
    <row r="105" spans="1:5" x14ac:dyDescent="0.2">
      <c r="A105" t="s">
        <v>6</v>
      </c>
      <c r="B105">
        <v>57.894736842105267</v>
      </c>
      <c r="C105">
        <v>1</v>
      </c>
      <c r="D105" s="3">
        <v>1</v>
      </c>
      <c r="E105" s="3">
        <v>5</v>
      </c>
    </row>
    <row r="106" spans="1:5" x14ac:dyDescent="0.2">
      <c r="A106" t="s">
        <v>6</v>
      </c>
      <c r="B106">
        <v>100</v>
      </c>
      <c r="C106">
        <v>1</v>
      </c>
      <c r="D106" s="3">
        <v>1</v>
      </c>
      <c r="E106" s="3">
        <v>5</v>
      </c>
    </row>
    <row r="107" spans="1:5" x14ac:dyDescent="0.2">
      <c r="A107" t="s">
        <v>6</v>
      </c>
      <c r="B107">
        <v>71.585903083700444</v>
      </c>
      <c r="C107">
        <v>1</v>
      </c>
      <c r="D107" s="3">
        <v>1</v>
      </c>
      <c r="E107" s="3">
        <v>5</v>
      </c>
    </row>
    <row r="108" spans="1:5" x14ac:dyDescent="0.2">
      <c r="A108" t="s">
        <v>6</v>
      </c>
      <c r="B108">
        <v>88.461538461538453</v>
      </c>
      <c r="C108">
        <v>1</v>
      </c>
      <c r="D108" s="3">
        <v>1</v>
      </c>
      <c r="E108" s="3">
        <v>5</v>
      </c>
    </row>
    <row r="109" spans="1:5" x14ac:dyDescent="0.2">
      <c r="A109" t="s">
        <v>6</v>
      </c>
      <c r="B109">
        <v>77.272727272727266</v>
      </c>
      <c r="C109">
        <v>1</v>
      </c>
      <c r="D109" s="3">
        <v>1</v>
      </c>
      <c r="E109" s="3">
        <v>5</v>
      </c>
    </row>
    <row r="110" spans="1:5" x14ac:dyDescent="0.2">
      <c r="A110" t="s">
        <v>6</v>
      </c>
      <c r="B110">
        <v>100</v>
      </c>
      <c r="C110">
        <v>1</v>
      </c>
      <c r="D110" s="3">
        <v>1</v>
      </c>
      <c r="E110" s="3">
        <v>5</v>
      </c>
    </row>
    <row r="111" spans="1:5" x14ac:dyDescent="0.2">
      <c r="A111" t="s">
        <v>6</v>
      </c>
      <c r="B111">
        <v>96.710526315789465</v>
      </c>
      <c r="C111">
        <v>1</v>
      </c>
      <c r="D111" s="3">
        <v>1</v>
      </c>
      <c r="E111" s="3">
        <v>5</v>
      </c>
    </row>
    <row r="112" spans="1:5" x14ac:dyDescent="0.2">
      <c r="A112" t="s">
        <v>6</v>
      </c>
      <c r="B112">
        <v>91.379310344827587</v>
      </c>
      <c r="C112">
        <v>1</v>
      </c>
      <c r="D112" s="3">
        <v>1</v>
      </c>
      <c r="E112" s="3">
        <v>5</v>
      </c>
    </row>
    <row r="113" spans="1:5" x14ac:dyDescent="0.2">
      <c r="A113" t="s">
        <v>6</v>
      </c>
      <c r="B113">
        <v>100</v>
      </c>
      <c r="C113">
        <v>1</v>
      </c>
      <c r="D113" s="3">
        <v>1</v>
      </c>
      <c r="E113" s="3">
        <v>5</v>
      </c>
    </row>
    <row r="114" spans="1:5" x14ac:dyDescent="0.2">
      <c r="A114" t="s">
        <v>6</v>
      </c>
      <c r="B114">
        <v>94.791666666666657</v>
      </c>
      <c r="C114">
        <v>1</v>
      </c>
      <c r="D114" s="3">
        <v>1</v>
      </c>
      <c r="E114" s="3">
        <v>5</v>
      </c>
    </row>
    <row r="115" spans="1:5" x14ac:dyDescent="0.2">
      <c r="A115" t="s">
        <v>6</v>
      </c>
      <c r="B115">
        <v>88.28125</v>
      </c>
      <c r="C115">
        <v>1</v>
      </c>
      <c r="D115" s="3">
        <v>1</v>
      </c>
      <c r="E115" s="3">
        <v>5</v>
      </c>
    </row>
    <row r="116" spans="1:5" x14ac:dyDescent="0.2">
      <c r="A116" t="s">
        <v>6</v>
      </c>
      <c r="B116">
        <v>95.348837209302332</v>
      </c>
      <c r="C116">
        <v>1</v>
      </c>
      <c r="D116" s="3">
        <v>1</v>
      </c>
      <c r="E116" s="3">
        <v>5</v>
      </c>
    </row>
    <row r="117" spans="1:5" x14ac:dyDescent="0.2">
      <c r="A117" t="s">
        <v>6</v>
      </c>
      <c r="B117">
        <v>100</v>
      </c>
      <c r="C117">
        <v>1</v>
      </c>
      <c r="D117" s="3">
        <v>1</v>
      </c>
      <c r="E117" s="3">
        <v>5</v>
      </c>
    </row>
    <row r="118" spans="1:5" x14ac:dyDescent="0.2">
      <c r="A118" t="s">
        <v>6</v>
      </c>
      <c r="B118">
        <v>100</v>
      </c>
      <c r="C118">
        <v>1</v>
      </c>
      <c r="D118" s="3">
        <v>1</v>
      </c>
      <c r="E118" s="3">
        <v>5</v>
      </c>
    </row>
    <row r="119" spans="1:5" x14ac:dyDescent="0.2">
      <c r="A119" t="s">
        <v>6</v>
      </c>
      <c r="B119">
        <v>73.529411764705884</v>
      </c>
      <c r="C119">
        <v>1</v>
      </c>
      <c r="D119" s="3">
        <v>1</v>
      </c>
      <c r="E119" s="3">
        <v>5</v>
      </c>
    </row>
    <row r="120" spans="1:5" x14ac:dyDescent="0.2">
      <c r="A120" t="s">
        <v>6</v>
      </c>
      <c r="B120">
        <v>86.956521739130437</v>
      </c>
      <c r="C120">
        <v>1</v>
      </c>
      <c r="D120" s="3">
        <v>1</v>
      </c>
      <c r="E120" s="3">
        <v>5</v>
      </c>
    </row>
    <row r="121" spans="1:5" x14ac:dyDescent="0.2">
      <c r="A121" t="s">
        <v>6</v>
      </c>
      <c r="B121">
        <v>91.954022988505741</v>
      </c>
      <c r="C121">
        <v>1</v>
      </c>
      <c r="D121" s="3">
        <v>1</v>
      </c>
      <c r="E121" s="3">
        <v>5</v>
      </c>
    </row>
    <row r="122" spans="1:5" x14ac:dyDescent="0.2">
      <c r="A122" t="s">
        <v>6</v>
      </c>
      <c r="B122">
        <v>88.48684210526315</v>
      </c>
      <c r="C122">
        <v>1</v>
      </c>
      <c r="D122" s="3">
        <v>1</v>
      </c>
      <c r="E122" s="3">
        <v>5</v>
      </c>
    </row>
    <row r="123" spans="1:5" x14ac:dyDescent="0.2">
      <c r="A123" t="s">
        <v>6</v>
      </c>
      <c r="B123">
        <v>96.703296703296701</v>
      </c>
      <c r="C123">
        <v>1</v>
      </c>
      <c r="D123" s="3">
        <v>1</v>
      </c>
      <c r="E123" s="3">
        <v>5</v>
      </c>
    </row>
    <row r="124" spans="1:5" x14ac:dyDescent="0.2">
      <c r="A124" t="s">
        <v>6</v>
      </c>
      <c r="B124">
        <v>56.338028169014088</v>
      </c>
      <c r="C124">
        <v>1</v>
      </c>
      <c r="D124" s="3">
        <v>1</v>
      </c>
      <c r="E124" s="3">
        <v>5</v>
      </c>
    </row>
    <row r="125" spans="1:5" x14ac:dyDescent="0.2">
      <c r="A125" t="s">
        <v>6</v>
      </c>
      <c r="B125">
        <v>91.338582677165363</v>
      </c>
      <c r="C125">
        <v>1</v>
      </c>
      <c r="D125" s="3">
        <v>1</v>
      </c>
      <c r="E125" s="3">
        <v>5</v>
      </c>
    </row>
    <row r="126" spans="1:5" x14ac:dyDescent="0.2">
      <c r="A126" t="s">
        <v>6</v>
      </c>
      <c r="B126">
        <v>97.916666666666657</v>
      </c>
      <c r="C126">
        <v>1</v>
      </c>
      <c r="D126" s="3">
        <v>1</v>
      </c>
      <c r="E126" s="3">
        <v>5</v>
      </c>
    </row>
    <row r="127" spans="1:5" x14ac:dyDescent="0.2">
      <c r="A127" t="s">
        <v>6</v>
      </c>
      <c r="B127">
        <v>97.737556561085967</v>
      </c>
      <c r="C127">
        <v>1</v>
      </c>
      <c r="D127" s="3">
        <v>1</v>
      </c>
      <c r="E127" s="3">
        <v>5</v>
      </c>
    </row>
    <row r="128" spans="1:5" x14ac:dyDescent="0.2">
      <c r="A128" t="s">
        <v>19</v>
      </c>
      <c r="B128">
        <v>97.021276595744681</v>
      </c>
      <c r="C128">
        <v>1</v>
      </c>
      <c r="D128" s="3">
        <v>1</v>
      </c>
      <c r="E128" s="3">
        <v>5</v>
      </c>
    </row>
    <row r="129" spans="1:5" x14ac:dyDescent="0.2">
      <c r="A129" t="s">
        <v>19</v>
      </c>
      <c r="B129">
        <v>41.379310344827587</v>
      </c>
      <c r="C129">
        <v>1</v>
      </c>
      <c r="D129" s="3">
        <v>1</v>
      </c>
      <c r="E129" s="3">
        <v>5</v>
      </c>
    </row>
    <row r="130" spans="1:5" x14ac:dyDescent="0.2">
      <c r="A130" t="s">
        <v>19</v>
      </c>
      <c r="B130">
        <v>81.672025723472672</v>
      </c>
      <c r="C130">
        <v>1</v>
      </c>
      <c r="D130" s="3">
        <v>1</v>
      </c>
      <c r="E130" s="3">
        <v>5</v>
      </c>
    </row>
    <row r="131" spans="1:5" x14ac:dyDescent="0.2">
      <c r="A131" t="s">
        <v>19</v>
      </c>
      <c r="B131">
        <v>45.901639344262293</v>
      </c>
      <c r="C131">
        <v>1</v>
      </c>
      <c r="D131" s="3">
        <v>1</v>
      </c>
      <c r="E131" s="3">
        <v>5</v>
      </c>
    </row>
    <row r="132" spans="1:5" x14ac:dyDescent="0.2">
      <c r="A132" t="s">
        <v>19</v>
      </c>
      <c r="B132">
        <v>97.560975609756099</v>
      </c>
      <c r="C132">
        <v>1</v>
      </c>
      <c r="D132" s="3">
        <v>1</v>
      </c>
      <c r="E132" s="3">
        <v>5</v>
      </c>
    </row>
    <row r="133" spans="1:5" x14ac:dyDescent="0.2">
      <c r="A133" t="s">
        <v>19</v>
      </c>
      <c r="B133">
        <v>94.845360824742258</v>
      </c>
      <c r="C133">
        <v>1</v>
      </c>
      <c r="D133" s="3">
        <v>1</v>
      </c>
      <c r="E133" s="3">
        <v>5</v>
      </c>
    </row>
    <row r="134" spans="1:5" x14ac:dyDescent="0.2">
      <c r="A134" t="s">
        <v>19</v>
      </c>
      <c r="B134">
        <v>59.090909090909093</v>
      </c>
      <c r="C134">
        <v>1</v>
      </c>
      <c r="D134" s="3">
        <v>1</v>
      </c>
      <c r="E134" s="3">
        <v>5</v>
      </c>
    </row>
    <row r="135" spans="1:5" x14ac:dyDescent="0.2">
      <c r="A135" t="s">
        <v>19</v>
      </c>
      <c r="B135">
        <v>100</v>
      </c>
      <c r="C135">
        <v>1</v>
      </c>
      <c r="D135" s="3">
        <v>1</v>
      </c>
      <c r="E135" s="3">
        <v>5</v>
      </c>
    </row>
    <row r="136" spans="1:5" x14ac:dyDescent="0.2">
      <c r="A136" t="s">
        <v>19</v>
      </c>
      <c r="B136">
        <v>83</v>
      </c>
      <c r="C136">
        <v>1</v>
      </c>
      <c r="D136" s="3">
        <v>1</v>
      </c>
      <c r="E136" s="3">
        <v>5</v>
      </c>
    </row>
    <row r="137" spans="1:5" x14ac:dyDescent="0.2">
      <c r="A137" t="s">
        <v>19</v>
      </c>
      <c r="B137">
        <v>93.230769230769226</v>
      </c>
      <c r="C137">
        <v>1</v>
      </c>
      <c r="D137" s="3">
        <v>1</v>
      </c>
      <c r="E137" s="3">
        <v>5</v>
      </c>
    </row>
    <row r="138" spans="1:5" x14ac:dyDescent="0.2">
      <c r="A138" t="s">
        <v>19</v>
      </c>
      <c r="B138">
        <v>73.267326732673268</v>
      </c>
      <c r="C138">
        <v>1</v>
      </c>
      <c r="D138" s="3">
        <v>1</v>
      </c>
      <c r="E138" s="3">
        <v>5</v>
      </c>
    </row>
    <row r="139" spans="1:5" x14ac:dyDescent="0.2">
      <c r="A139" t="s">
        <v>19</v>
      </c>
      <c r="B139">
        <v>93.288590604026851</v>
      </c>
      <c r="C139">
        <v>1</v>
      </c>
      <c r="D139" s="3">
        <v>1</v>
      </c>
      <c r="E139" s="3">
        <v>5</v>
      </c>
    </row>
    <row r="140" spans="1:5" x14ac:dyDescent="0.2">
      <c r="A140" t="s">
        <v>19</v>
      </c>
      <c r="B140">
        <v>100</v>
      </c>
      <c r="C140">
        <v>1</v>
      </c>
      <c r="D140" s="3">
        <v>1</v>
      </c>
      <c r="E140" s="3">
        <v>5</v>
      </c>
    </row>
    <row r="141" spans="1:5" x14ac:dyDescent="0.2">
      <c r="A141" t="s">
        <v>19</v>
      </c>
      <c r="B141">
        <v>75.728155339805824</v>
      </c>
      <c r="C141">
        <v>1</v>
      </c>
      <c r="D141" s="3">
        <v>1</v>
      </c>
      <c r="E141" s="3">
        <v>5</v>
      </c>
    </row>
    <row r="142" spans="1:5" x14ac:dyDescent="0.2">
      <c r="A142" t="s">
        <v>19</v>
      </c>
      <c r="B142">
        <v>100</v>
      </c>
      <c r="C142">
        <v>1</v>
      </c>
      <c r="D142" s="3">
        <v>1</v>
      </c>
      <c r="E142" s="3">
        <v>5</v>
      </c>
    </row>
    <row r="143" spans="1:5" x14ac:dyDescent="0.2">
      <c r="A143" t="s">
        <v>19</v>
      </c>
      <c r="B143">
        <v>90.615835777126094</v>
      </c>
      <c r="C143">
        <v>1</v>
      </c>
      <c r="D143" s="3">
        <v>1</v>
      </c>
      <c r="E143" s="3">
        <v>5</v>
      </c>
    </row>
    <row r="144" spans="1:5" x14ac:dyDescent="0.2">
      <c r="A144" t="s">
        <v>19</v>
      </c>
      <c r="B144">
        <v>100</v>
      </c>
      <c r="C144">
        <v>1</v>
      </c>
      <c r="D144" s="3">
        <v>1</v>
      </c>
      <c r="E144" s="3">
        <v>5</v>
      </c>
    </row>
    <row r="145" spans="1:5" x14ac:dyDescent="0.2">
      <c r="A145" t="s">
        <v>19</v>
      </c>
      <c r="B145">
        <v>27.167630057803464</v>
      </c>
      <c r="C145">
        <v>1</v>
      </c>
      <c r="D145" s="3">
        <v>1</v>
      </c>
      <c r="E145" s="3">
        <v>5</v>
      </c>
    </row>
    <row r="146" spans="1:5" x14ac:dyDescent="0.2">
      <c r="A146" t="s">
        <v>19</v>
      </c>
      <c r="B146">
        <v>46.103896103896105</v>
      </c>
      <c r="C146">
        <v>1</v>
      </c>
      <c r="D146" s="3">
        <v>1</v>
      </c>
      <c r="E146" s="3">
        <v>5</v>
      </c>
    </row>
    <row r="147" spans="1:5" x14ac:dyDescent="0.2">
      <c r="A147" t="s">
        <v>19</v>
      </c>
      <c r="B147">
        <v>40</v>
      </c>
      <c r="C147">
        <v>1</v>
      </c>
      <c r="D147" s="3">
        <v>1</v>
      </c>
      <c r="E147" s="3">
        <v>5</v>
      </c>
    </row>
    <row r="148" spans="1:5" x14ac:dyDescent="0.2">
      <c r="A148" t="s">
        <v>19</v>
      </c>
      <c r="B148">
        <v>100</v>
      </c>
      <c r="C148">
        <v>1</v>
      </c>
      <c r="D148" s="3">
        <v>1</v>
      </c>
      <c r="E148" s="3">
        <v>5</v>
      </c>
    </row>
    <row r="149" spans="1:5" x14ac:dyDescent="0.2">
      <c r="A149" t="s">
        <v>19</v>
      </c>
      <c r="B149">
        <v>89.870129870129873</v>
      </c>
      <c r="C149">
        <v>1</v>
      </c>
      <c r="D149" s="3">
        <v>1</v>
      </c>
      <c r="E149" s="3">
        <v>5</v>
      </c>
    </row>
    <row r="150" spans="1:5" x14ac:dyDescent="0.2">
      <c r="A150" t="s">
        <v>19</v>
      </c>
      <c r="B150">
        <v>91.875</v>
      </c>
      <c r="C150">
        <v>1</v>
      </c>
      <c r="D150" s="3">
        <v>1</v>
      </c>
      <c r="E150" s="3">
        <v>5</v>
      </c>
    </row>
    <row r="151" spans="1:5" x14ac:dyDescent="0.2">
      <c r="A151" t="s">
        <v>19</v>
      </c>
      <c r="B151">
        <v>84.848484848484844</v>
      </c>
      <c r="C151">
        <v>1</v>
      </c>
      <c r="D151" s="3">
        <v>1</v>
      </c>
      <c r="E151" s="3">
        <v>5</v>
      </c>
    </row>
    <row r="152" spans="1:5" x14ac:dyDescent="0.2">
      <c r="A152" t="s">
        <v>19</v>
      </c>
      <c r="B152">
        <v>98.130841121495322</v>
      </c>
      <c r="C152">
        <v>1</v>
      </c>
      <c r="D152" s="3">
        <v>1</v>
      </c>
      <c r="E152" s="3">
        <v>5</v>
      </c>
    </row>
    <row r="153" spans="1:5" x14ac:dyDescent="0.2">
      <c r="A153" t="s">
        <v>19</v>
      </c>
      <c r="B153">
        <v>100</v>
      </c>
      <c r="C153">
        <v>1</v>
      </c>
      <c r="D153" s="3">
        <v>1</v>
      </c>
      <c r="E153" s="3">
        <v>5</v>
      </c>
    </row>
    <row r="154" spans="1:5" x14ac:dyDescent="0.2">
      <c r="A154" t="s">
        <v>19</v>
      </c>
      <c r="B154">
        <v>93</v>
      </c>
      <c r="C154">
        <v>1</v>
      </c>
      <c r="D154" s="3">
        <v>1</v>
      </c>
      <c r="E154" s="3">
        <v>5</v>
      </c>
    </row>
    <row r="155" spans="1:5" x14ac:dyDescent="0.2">
      <c r="A155" t="s">
        <v>19</v>
      </c>
      <c r="B155">
        <v>100</v>
      </c>
      <c r="C155">
        <v>1</v>
      </c>
      <c r="D155" s="3">
        <v>1</v>
      </c>
      <c r="E155" s="3">
        <v>5</v>
      </c>
    </row>
    <row r="156" spans="1:5" x14ac:dyDescent="0.2">
      <c r="A156" t="s">
        <v>19</v>
      </c>
      <c r="B156">
        <v>99.242424242424249</v>
      </c>
      <c r="C156">
        <v>1</v>
      </c>
      <c r="D156" s="3">
        <v>1</v>
      </c>
      <c r="E156" s="3">
        <v>5</v>
      </c>
    </row>
    <row r="157" spans="1:5" x14ac:dyDescent="0.2">
      <c r="A157" t="s">
        <v>19</v>
      </c>
      <c r="B157">
        <v>89.051094890510953</v>
      </c>
      <c r="C157">
        <v>1</v>
      </c>
      <c r="D157" s="3">
        <v>1</v>
      </c>
      <c r="E157" s="3">
        <v>5</v>
      </c>
    </row>
    <row r="158" spans="1:5" x14ac:dyDescent="0.2">
      <c r="A158" t="s">
        <v>19</v>
      </c>
      <c r="B158">
        <v>98.4375</v>
      </c>
      <c r="C158">
        <v>1</v>
      </c>
      <c r="D158" s="3">
        <v>1</v>
      </c>
      <c r="E158" s="3">
        <v>5</v>
      </c>
    </row>
    <row r="159" spans="1:5" x14ac:dyDescent="0.2">
      <c r="A159" t="s">
        <v>19</v>
      </c>
      <c r="B159">
        <v>70.212765957446805</v>
      </c>
      <c r="C159">
        <v>1</v>
      </c>
      <c r="D159" s="3">
        <v>1</v>
      </c>
      <c r="E159" s="3">
        <v>5</v>
      </c>
    </row>
    <row r="160" spans="1:5" x14ac:dyDescent="0.2">
      <c r="A160" t="s">
        <v>6</v>
      </c>
      <c r="B160">
        <v>74</v>
      </c>
      <c r="C160">
        <v>1</v>
      </c>
      <c r="D160" s="3">
        <v>1</v>
      </c>
      <c r="E160" s="3">
        <v>8</v>
      </c>
    </row>
    <row r="161" spans="1:5" x14ac:dyDescent="0.2">
      <c r="A161" t="s">
        <v>6</v>
      </c>
      <c r="B161">
        <v>85.142857142857139</v>
      </c>
      <c r="C161">
        <v>1</v>
      </c>
      <c r="D161" s="3">
        <v>1</v>
      </c>
      <c r="E161" s="3">
        <v>8</v>
      </c>
    </row>
    <row r="162" spans="1:5" x14ac:dyDescent="0.2">
      <c r="A162" t="s">
        <v>6</v>
      </c>
      <c r="B162">
        <v>98.648648648648646</v>
      </c>
      <c r="C162">
        <v>1</v>
      </c>
      <c r="D162" s="3">
        <v>1</v>
      </c>
      <c r="E162" s="3">
        <v>8</v>
      </c>
    </row>
    <row r="163" spans="1:5" x14ac:dyDescent="0.2">
      <c r="A163" t="s">
        <v>6</v>
      </c>
      <c r="B163">
        <v>86.440677966101703</v>
      </c>
      <c r="C163">
        <v>1</v>
      </c>
      <c r="D163" s="3">
        <v>1</v>
      </c>
      <c r="E163" s="3">
        <v>8</v>
      </c>
    </row>
    <row r="164" spans="1:5" x14ac:dyDescent="0.2">
      <c r="A164" t="s">
        <v>6</v>
      </c>
      <c r="B164">
        <v>94.334975369458135</v>
      </c>
      <c r="C164">
        <v>1</v>
      </c>
      <c r="D164" s="3">
        <v>1</v>
      </c>
      <c r="E164" s="3">
        <v>8</v>
      </c>
    </row>
    <row r="165" spans="1:5" x14ac:dyDescent="0.2">
      <c r="A165" t="s">
        <v>6</v>
      </c>
      <c r="B165">
        <v>93</v>
      </c>
      <c r="C165">
        <v>1</v>
      </c>
      <c r="D165" s="3">
        <v>1</v>
      </c>
      <c r="E165" s="3">
        <v>8</v>
      </c>
    </row>
    <row r="166" spans="1:5" x14ac:dyDescent="0.2">
      <c r="A166" t="s">
        <v>6</v>
      </c>
      <c r="B166">
        <v>100</v>
      </c>
      <c r="C166">
        <v>1</v>
      </c>
      <c r="D166" s="3">
        <v>1</v>
      </c>
      <c r="E166" s="3">
        <v>8</v>
      </c>
    </row>
    <row r="167" spans="1:5" x14ac:dyDescent="0.2">
      <c r="A167" t="s">
        <v>6</v>
      </c>
      <c r="B167">
        <v>90.166666666666657</v>
      </c>
      <c r="C167">
        <v>0</v>
      </c>
      <c r="D167" s="3">
        <v>1</v>
      </c>
      <c r="E167" s="3">
        <v>8</v>
      </c>
    </row>
    <row r="168" spans="1:5" x14ac:dyDescent="0.2">
      <c r="A168" t="s">
        <v>6</v>
      </c>
      <c r="B168">
        <v>94.693877551020407</v>
      </c>
      <c r="C168">
        <v>1</v>
      </c>
      <c r="D168" s="3">
        <v>1</v>
      </c>
      <c r="E168" s="3">
        <v>8</v>
      </c>
    </row>
    <row r="169" spans="1:5" x14ac:dyDescent="0.2">
      <c r="A169" t="s">
        <v>6</v>
      </c>
      <c r="B169">
        <v>84.615384615384613</v>
      </c>
      <c r="C169">
        <v>1</v>
      </c>
      <c r="D169" s="3">
        <v>1</v>
      </c>
      <c r="E169" s="3">
        <v>8</v>
      </c>
    </row>
    <row r="170" spans="1:5" x14ac:dyDescent="0.2">
      <c r="A170" t="s">
        <v>6</v>
      </c>
      <c r="B170">
        <v>82.051282051282044</v>
      </c>
      <c r="C170">
        <v>1</v>
      </c>
      <c r="D170" s="3">
        <v>1</v>
      </c>
      <c r="E170" s="3">
        <v>8</v>
      </c>
    </row>
    <row r="171" spans="1:5" x14ac:dyDescent="0.2">
      <c r="A171" t="s">
        <v>6</v>
      </c>
      <c r="B171">
        <v>93.577981651376149</v>
      </c>
      <c r="C171">
        <v>1</v>
      </c>
      <c r="D171" s="3">
        <v>1</v>
      </c>
      <c r="E171" s="3">
        <v>8</v>
      </c>
    </row>
    <row r="172" spans="1:5" x14ac:dyDescent="0.2">
      <c r="A172" t="s">
        <v>6</v>
      </c>
      <c r="B172">
        <v>96.33507853403141</v>
      </c>
      <c r="C172">
        <v>1</v>
      </c>
      <c r="D172" s="3">
        <v>1</v>
      </c>
      <c r="E172" s="3">
        <v>8</v>
      </c>
    </row>
    <row r="173" spans="1:5" x14ac:dyDescent="0.2">
      <c r="A173" t="s">
        <v>6</v>
      </c>
      <c r="B173">
        <v>100</v>
      </c>
      <c r="C173">
        <v>1</v>
      </c>
      <c r="D173" s="3">
        <v>1</v>
      </c>
      <c r="E173" s="3">
        <v>8</v>
      </c>
    </row>
    <row r="174" spans="1:5" x14ac:dyDescent="0.2">
      <c r="A174" t="s">
        <v>6</v>
      </c>
      <c r="B174">
        <v>80.691642651296831</v>
      </c>
      <c r="C174">
        <v>1</v>
      </c>
      <c r="D174" s="3">
        <v>1</v>
      </c>
      <c r="E174" s="3">
        <v>8</v>
      </c>
    </row>
    <row r="175" spans="1:5" x14ac:dyDescent="0.2">
      <c r="A175" t="s">
        <v>6</v>
      </c>
      <c r="B175">
        <v>100</v>
      </c>
      <c r="C175">
        <v>1</v>
      </c>
      <c r="D175" s="3">
        <v>1</v>
      </c>
      <c r="E175" s="3">
        <v>8</v>
      </c>
    </row>
    <row r="176" spans="1:5" x14ac:dyDescent="0.2">
      <c r="A176" t="s">
        <v>6</v>
      </c>
      <c r="B176">
        <v>97.540983606557376</v>
      </c>
      <c r="C176">
        <v>1</v>
      </c>
      <c r="D176" s="3">
        <v>1</v>
      </c>
      <c r="E176" s="3">
        <v>8</v>
      </c>
    </row>
    <row r="177" spans="1:5" x14ac:dyDescent="0.2">
      <c r="A177" t="s">
        <v>6</v>
      </c>
      <c r="B177">
        <v>100</v>
      </c>
      <c r="C177">
        <v>1</v>
      </c>
      <c r="D177" s="3">
        <v>1</v>
      </c>
      <c r="E177" s="3">
        <v>8</v>
      </c>
    </row>
    <row r="178" spans="1:5" x14ac:dyDescent="0.2">
      <c r="A178" t="s">
        <v>6</v>
      </c>
      <c r="B178">
        <v>88.571428571428569</v>
      </c>
      <c r="C178">
        <v>1</v>
      </c>
      <c r="D178" s="3">
        <v>1</v>
      </c>
      <c r="E178" s="3">
        <v>8</v>
      </c>
    </row>
    <row r="179" spans="1:5" x14ac:dyDescent="0.2">
      <c r="A179" t="s">
        <v>6</v>
      </c>
      <c r="B179">
        <v>95.620437956204384</v>
      </c>
      <c r="C179">
        <v>1</v>
      </c>
      <c r="D179" s="3">
        <v>1</v>
      </c>
      <c r="E179" s="3">
        <v>8</v>
      </c>
    </row>
    <row r="180" spans="1:5" x14ac:dyDescent="0.2">
      <c r="A180" t="s">
        <v>19</v>
      </c>
      <c r="B180">
        <v>96.774193548387103</v>
      </c>
      <c r="C180">
        <v>1</v>
      </c>
      <c r="D180" s="3">
        <v>1</v>
      </c>
      <c r="E180" s="3">
        <v>8</v>
      </c>
    </row>
    <row r="181" spans="1:5" x14ac:dyDescent="0.2">
      <c r="A181" t="s">
        <v>19</v>
      </c>
      <c r="B181">
        <v>96.103896103896105</v>
      </c>
      <c r="C181">
        <v>1</v>
      </c>
      <c r="D181" s="3">
        <v>1</v>
      </c>
      <c r="E181" s="3">
        <v>8</v>
      </c>
    </row>
    <row r="182" spans="1:5" x14ac:dyDescent="0.2">
      <c r="A182" t="s">
        <v>19</v>
      </c>
      <c r="B182">
        <v>90.960451977401121</v>
      </c>
      <c r="C182">
        <v>1</v>
      </c>
      <c r="D182" s="3">
        <v>1</v>
      </c>
      <c r="E182" s="3">
        <v>8</v>
      </c>
    </row>
    <row r="183" spans="1:5" x14ac:dyDescent="0.2">
      <c r="A183" t="s">
        <v>19</v>
      </c>
      <c r="B183">
        <v>97.368421052631575</v>
      </c>
      <c r="C183">
        <v>1</v>
      </c>
      <c r="D183" s="3">
        <v>1</v>
      </c>
      <c r="E183" s="3">
        <v>8</v>
      </c>
    </row>
    <row r="184" spans="1:5" x14ac:dyDescent="0.2">
      <c r="A184" t="s">
        <v>19</v>
      </c>
      <c r="B184">
        <v>100</v>
      </c>
      <c r="C184">
        <v>1</v>
      </c>
      <c r="D184" s="3">
        <v>1</v>
      </c>
      <c r="E184" s="3">
        <v>8</v>
      </c>
    </row>
    <row r="185" spans="1:5" x14ac:dyDescent="0.2">
      <c r="A185" t="s">
        <v>19</v>
      </c>
      <c r="B185">
        <v>93.07692307692308</v>
      </c>
      <c r="C185">
        <v>1</v>
      </c>
      <c r="D185" s="3">
        <v>1</v>
      </c>
      <c r="E185" s="3">
        <v>8</v>
      </c>
    </row>
    <row r="186" spans="1:5" x14ac:dyDescent="0.2">
      <c r="A186" t="s">
        <v>19</v>
      </c>
      <c r="B186">
        <v>86</v>
      </c>
      <c r="C186">
        <v>1</v>
      </c>
      <c r="D186" s="3">
        <v>1</v>
      </c>
      <c r="E186" s="3">
        <v>8</v>
      </c>
    </row>
    <row r="187" spans="1:5" x14ac:dyDescent="0.2">
      <c r="A187" t="s">
        <v>19</v>
      </c>
      <c r="B187">
        <v>97.166666666666671</v>
      </c>
      <c r="C187">
        <v>1</v>
      </c>
      <c r="D187" s="3">
        <v>1</v>
      </c>
      <c r="E187" s="3">
        <v>8</v>
      </c>
    </row>
    <row r="188" spans="1:5" x14ac:dyDescent="0.2">
      <c r="A188" t="s">
        <v>19</v>
      </c>
      <c r="B188">
        <v>90.869565217391298</v>
      </c>
      <c r="C188">
        <v>1</v>
      </c>
      <c r="D188" s="3">
        <v>1</v>
      </c>
      <c r="E188" s="3">
        <v>8</v>
      </c>
    </row>
    <row r="189" spans="1:5" x14ac:dyDescent="0.2">
      <c r="A189" t="s">
        <v>19</v>
      </c>
      <c r="B189">
        <v>98.326359832635973</v>
      </c>
      <c r="C189">
        <v>1</v>
      </c>
      <c r="D189" s="3">
        <v>1</v>
      </c>
      <c r="E189" s="3">
        <v>8</v>
      </c>
    </row>
    <row r="190" spans="1:5" x14ac:dyDescent="0.2">
      <c r="A190" t="s">
        <v>19</v>
      </c>
      <c r="B190">
        <v>87.640449438202253</v>
      </c>
      <c r="C190">
        <v>1</v>
      </c>
      <c r="D190" s="3">
        <v>1</v>
      </c>
      <c r="E190" s="3">
        <v>8</v>
      </c>
    </row>
    <row r="191" spans="1:5" x14ac:dyDescent="0.2">
      <c r="A191" t="s">
        <v>19</v>
      </c>
      <c r="B191">
        <v>88.059701492537314</v>
      </c>
      <c r="C191">
        <v>1</v>
      </c>
      <c r="D191" s="3">
        <v>1</v>
      </c>
      <c r="E191" s="3">
        <v>8</v>
      </c>
    </row>
    <row r="192" spans="1:5" x14ac:dyDescent="0.2">
      <c r="A192" t="s">
        <v>19</v>
      </c>
      <c r="B192">
        <v>98.214285714285708</v>
      </c>
      <c r="C192">
        <v>1</v>
      </c>
      <c r="D192" s="3">
        <v>1</v>
      </c>
      <c r="E192" s="3">
        <v>8</v>
      </c>
    </row>
    <row r="193" spans="1:5" x14ac:dyDescent="0.2">
      <c r="A193" t="s">
        <v>19</v>
      </c>
      <c r="B193">
        <v>89.679715302491104</v>
      </c>
      <c r="C193">
        <v>1</v>
      </c>
      <c r="D193" s="3">
        <v>1</v>
      </c>
      <c r="E193" s="3">
        <v>8</v>
      </c>
    </row>
    <row r="194" spans="1:5" x14ac:dyDescent="0.2">
      <c r="A194" t="s">
        <v>19</v>
      </c>
      <c r="B194">
        <v>80.327868852459019</v>
      </c>
      <c r="C194">
        <v>1</v>
      </c>
      <c r="D194" s="3">
        <v>1</v>
      </c>
      <c r="E194" s="3">
        <v>8</v>
      </c>
    </row>
    <row r="195" spans="1:5" x14ac:dyDescent="0.2">
      <c r="A195" t="s">
        <v>19</v>
      </c>
      <c r="B195">
        <v>96.825396825396822</v>
      </c>
      <c r="C195">
        <v>1</v>
      </c>
      <c r="D195" s="3">
        <v>1</v>
      </c>
      <c r="E195" s="3">
        <v>8</v>
      </c>
    </row>
    <row r="196" spans="1:5" x14ac:dyDescent="0.2">
      <c r="A196" t="s">
        <v>19</v>
      </c>
      <c r="B196">
        <v>66</v>
      </c>
      <c r="C196">
        <v>1</v>
      </c>
      <c r="D196" s="3">
        <v>1</v>
      </c>
      <c r="E196" s="3">
        <v>8</v>
      </c>
    </row>
    <row r="197" spans="1:5" x14ac:dyDescent="0.2">
      <c r="A197" t="s">
        <v>19</v>
      </c>
      <c r="B197">
        <v>100</v>
      </c>
      <c r="C197">
        <v>1</v>
      </c>
      <c r="D197" s="3">
        <v>1</v>
      </c>
      <c r="E197" s="3">
        <v>8</v>
      </c>
    </row>
    <row r="198" spans="1:5" x14ac:dyDescent="0.2">
      <c r="A198" t="s">
        <v>19</v>
      </c>
      <c r="B198">
        <v>32.407407407407405</v>
      </c>
      <c r="C198">
        <v>1</v>
      </c>
      <c r="D198" s="3">
        <v>1</v>
      </c>
      <c r="E198" s="3">
        <v>8</v>
      </c>
    </row>
    <row r="199" spans="1:5" x14ac:dyDescent="0.2">
      <c r="A199" t="s">
        <v>19</v>
      </c>
      <c r="B199">
        <v>89.84375</v>
      </c>
      <c r="C199">
        <v>1</v>
      </c>
      <c r="D199" s="3">
        <v>1</v>
      </c>
      <c r="E199" s="3">
        <v>8</v>
      </c>
    </row>
    <row r="200" spans="1:5" x14ac:dyDescent="0.2">
      <c r="A200" t="s">
        <v>19</v>
      </c>
      <c r="B200">
        <v>97.211155378486055</v>
      </c>
      <c r="C200">
        <v>1</v>
      </c>
      <c r="D200" s="3">
        <v>1</v>
      </c>
      <c r="E200" s="3">
        <v>8</v>
      </c>
    </row>
    <row r="201" spans="1:5" x14ac:dyDescent="0.2">
      <c r="A201" t="s">
        <v>19</v>
      </c>
      <c r="B201">
        <v>100</v>
      </c>
      <c r="C201">
        <v>1</v>
      </c>
      <c r="D201" s="3">
        <v>1</v>
      </c>
      <c r="E201" s="3">
        <v>8</v>
      </c>
    </row>
    <row r="202" spans="1:5" x14ac:dyDescent="0.2">
      <c r="A202" t="s">
        <v>18</v>
      </c>
      <c r="B202">
        <v>88.297872340425528</v>
      </c>
      <c r="C202">
        <v>1</v>
      </c>
      <c r="D202" s="3">
        <v>1</v>
      </c>
      <c r="E202" s="3">
        <v>8</v>
      </c>
    </row>
    <row r="203" spans="1:5" x14ac:dyDescent="0.2">
      <c r="A203" t="s">
        <v>18</v>
      </c>
      <c r="B203">
        <v>98.605577689243034</v>
      </c>
      <c r="C203">
        <v>1</v>
      </c>
      <c r="D203" s="3">
        <v>1</v>
      </c>
      <c r="E203" s="3">
        <v>8</v>
      </c>
    </row>
    <row r="204" spans="1:5" x14ac:dyDescent="0.2">
      <c r="A204" t="s">
        <v>18</v>
      </c>
      <c r="B204">
        <v>76.510067114093957</v>
      </c>
      <c r="C204">
        <v>1</v>
      </c>
      <c r="D204" s="3">
        <v>1</v>
      </c>
      <c r="E204" s="3">
        <v>8</v>
      </c>
    </row>
    <row r="205" spans="1:5" x14ac:dyDescent="0.2">
      <c r="A205" t="s">
        <v>18</v>
      </c>
      <c r="B205">
        <v>97.42647058823529</v>
      </c>
      <c r="C205">
        <v>1</v>
      </c>
      <c r="D205" s="3">
        <v>1</v>
      </c>
      <c r="E205" s="3">
        <v>8</v>
      </c>
    </row>
    <row r="206" spans="1:5" x14ac:dyDescent="0.2">
      <c r="A206" t="s">
        <v>18</v>
      </c>
      <c r="B206">
        <v>73.952641165755921</v>
      </c>
      <c r="C206">
        <v>1</v>
      </c>
      <c r="D206" s="3">
        <v>1</v>
      </c>
      <c r="E206" s="3">
        <v>8</v>
      </c>
    </row>
    <row r="207" spans="1:5" x14ac:dyDescent="0.2">
      <c r="A207" t="s">
        <v>18</v>
      </c>
      <c r="B207">
        <v>100</v>
      </c>
      <c r="C207">
        <v>1</v>
      </c>
      <c r="D207" s="3">
        <v>1</v>
      </c>
      <c r="E207" s="3">
        <v>8</v>
      </c>
    </row>
    <row r="208" spans="1:5" x14ac:dyDescent="0.2">
      <c r="A208" t="s">
        <v>18</v>
      </c>
      <c r="B208">
        <v>89.664804469273747</v>
      </c>
      <c r="C208">
        <v>1</v>
      </c>
      <c r="D208" s="3">
        <v>1</v>
      </c>
      <c r="E208" s="3">
        <v>8</v>
      </c>
    </row>
    <row r="209" spans="1:5" x14ac:dyDescent="0.2">
      <c r="A209" t="s">
        <v>18</v>
      </c>
      <c r="B209">
        <v>97</v>
      </c>
      <c r="C209">
        <v>1</v>
      </c>
      <c r="D209" s="3">
        <v>1</v>
      </c>
      <c r="E209" s="3">
        <v>8</v>
      </c>
    </row>
    <row r="210" spans="1:5" x14ac:dyDescent="0.2">
      <c r="A210" t="s">
        <v>18</v>
      </c>
      <c r="B210">
        <v>100</v>
      </c>
      <c r="C210">
        <v>1</v>
      </c>
      <c r="D210" s="3">
        <v>1</v>
      </c>
      <c r="E210" s="3">
        <v>8</v>
      </c>
    </row>
    <row r="211" spans="1:5" x14ac:dyDescent="0.2">
      <c r="A211" t="s">
        <v>18</v>
      </c>
      <c r="B211">
        <v>86.36363636363636</v>
      </c>
      <c r="C211">
        <v>1</v>
      </c>
      <c r="D211" s="3">
        <v>1</v>
      </c>
      <c r="E211" s="3">
        <v>8</v>
      </c>
    </row>
    <row r="212" spans="1:5" x14ac:dyDescent="0.2">
      <c r="A212" t="s">
        <v>18</v>
      </c>
      <c r="B212">
        <v>98.814229249011859</v>
      </c>
      <c r="C212">
        <v>1</v>
      </c>
      <c r="D212" s="3">
        <v>1</v>
      </c>
      <c r="E212" s="3">
        <v>8</v>
      </c>
    </row>
    <row r="213" spans="1:5" x14ac:dyDescent="0.2">
      <c r="A213" t="s">
        <v>18</v>
      </c>
      <c r="B213">
        <v>96.537678207739305</v>
      </c>
      <c r="C213">
        <v>1</v>
      </c>
      <c r="D213" s="3">
        <v>1</v>
      </c>
      <c r="E213" s="3">
        <v>8</v>
      </c>
    </row>
    <row r="214" spans="1:5" x14ac:dyDescent="0.2">
      <c r="A214" t="s">
        <v>18</v>
      </c>
      <c r="B214">
        <v>98.591549295774655</v>
      </c>
      <c r="C214">
        <v>1</v>
      </c>
      <c r="D214" s="3">
        <v>1</v>
      </c>
      <c r="E214" s="3">
        <v>8</v>
      </c>
    </row>
    <row r="215" spans="1:5" x14ac:dyDescent="0.2">
      <c r="A215" t="s">
        <v>18</v>
      </c>
      <c r="B215">
        <v>97.674418604651152</v>
      </c>
      <c r="C215">
        <v>1</v>
      </c>
      <c r="D215" s="3">
        <v>1</v>
      </c>
      <c r="E215" s="3">
        <v>8</v>
      </c>
    </row>
    <row r="216" spans="1:5" x14ac:dyDescent="0.2">
      <c r="A216" t="s">
        <v>18</v>
      </c>
      <c r="B216">
        <v>97.166666666666671</v>
      </c>
      <c r="C216">
        <v>1</v>
      </c>
      <c r="D216" s="3">
        <v>1</v>
      </c>
      <c r="E216" s="3">
        <v>8</v>
      </c>
    </row>
    <row r="217" spans="1:5" x14ac:dyDescent="0.2">
      <c r="A217" t="s">
        <v>18</v>
      </c>
      <c r="B217">
        <v>98.283261802575112</v>
      </c>
      <c r="C217">
        <v>1</v>
      </c>
      <c r="D217" s="3">
        <v>1</v>
      </c>
      <c r="E217" s="3">
        <v>8</v>
      </c>
    </row>
    <row r="218" spans="1:5" x14ac:dyDescent="0.2">
      <c r="A218" t="s">
        <v>18</v>
      </c>
      <c r="B218">
        <v>99.214659685863865</v>
      </c>
      <c r="C218">
        <v>1</v>
      </c>
      <c r="D218" s="3">
        <v>1</v>
      </c>
      <c r="E218" s="3">
        <v>8</v>
      </c>
    </row>
    <row r="219" spans="1:5" x14ac:dyDescent="0.2">
      <c r="A219" t="s">
        <v>18</v>
      </c>
      <c r="B219">
        <v>87.362637362637358</v>
      </c>
      <c r="C219">
        <v>1</v>
      </c>
      <c r="D219" s="3">
        <v>1</v>
      </c>
      <c r="E219" s="3">
        <v>8</v>
      </c>
    </row>
    <row r="220" spans="1:5" x14ac:dyDescent="0.2">
      <c r="A220" t="s">
        <v>18</v>
      </c>
      <c r="B220">
        <v>100</v>
      </c>
      <c r="C220">
        <v>1</v>
      </c>
      <c r="D220" s="3">
        <v>1</v>
      </c>
      <c r="E220" s="3">
        <v>8</v>
      </c>
    </row>
    <row r="221" spans="1:5" x14ac:dyDescent="0.2">
      <c r="A221" t="s">
        <v>18</v>
      </c>
      <c r="B221">
        <v>92.741935483870961</v>
      </c>
      <c r="C221">
        <v>1</v>
      </c>
      <c r="D221" s="3">
        <v>1</v>
      </c>
      <c r="E221" s="3">
        <v>8</v>
      </c>
    </row>
    <row r="222" spans="1:5" x14ac:dyDescent="0.2">
      <c r="A222" t="s">
        <v>18</v>
      </c>
      <c r="B222">
        <v>99.386503067484668</v>
      </c>
      <c r="C222">
        <v>1</v>
      </c>
      <c r="D222" s="3">
        <v>1</v>
      </c>
      <c r="E222" s="3">
        <v>8</v>
      </c>
    </row>
    <row r="223" spans="1:5" x14ac:dyDescent="0.2">
      <c r="A223" t="s">
        <v>18</v>
      </c>
      <c r="B223">
        <v>87.5</v>
      </c>
      <c r="C223">
        <v>1</v>
      </c>
      <c r="D223" s="3">
        <v>1</v>
      </c>
      <c r="E223" s="3">
        <v>8</v>
      </c>
    </row>
    <row r="224" spans="1:5" x14ac:dyDescent="0.2">
      <c r="A224" t="s">
        <v>6</v>
      </c>
      <c r="B224">
        <v>100</v>
      </c>
      <c r="C224">
        <v>1</v>
      </c>
      <c r="D224" s="3">
        <v>2</v>
      </c>
      <c r="E224" s="3">
        <v>3</v>
      </c>
    </row>
    <row r="225" spans="1:5" x14ac:dyDescent="0.2">
      <c r="A225" t="s">
        <v>6</v>
      </c>
      <c r="B225">
        <v>66.40625</v>
      </c>
      <c r="C225">
        <v>1</v>
      </c>
      <c r="D225" s="3">
        <v>2</v>
      </c>
      <c r="E225" s="3">
        <v>3</v>
      </c>
    </row>
    <row r="226" spans="1:5" x14ac:dyDescent="0.2">
      <c r="A226" t="s">
        <v>6</v>
      </c>
      <c r="B226">
        <v>52.380952380952387</v>
      </c>
      <c r="C226">
        <v>1</v>
      </c>
      <c r="D226" s="3">
        <v>2</v>
      </c>
      <c r="E226" s="3">
        <v>3</v>
      </c>
    </row>
    <row r="227" spans="1:5" x14ac:dyDescent="0.2">
      <c r="A227" t="s">
        <v>6</v>
      </c>
      <c r="B227">
        <v>92.446043165467628</v>
      </c>
      <c r="C227">
        <v>1</v>
      </c>
      <c r="D227" s="3">
        <v>2</v>
      </c>
      <c r="E227" s="3">
        <v>3</v>
      </c>
    </row>
    <row r="228" spans="1:5" x14ac:dyDescent="0.2">
      <c r="A228" t="s">
        <v>6</v>
      </c>
      <c r="B228">
        <v>84.285714285714292</v>
      </c>
      <c r="C228">
        <v>1</v>
      </c>
      <c r="D228" s="3">
        <v>2</v>
      </c>
      <c r="E228" s="3">
        <v>3</v>
      </c>
    </row>
    <row r="229" spans="1:5" x14ac:dyDescent="0.2">
      <c r="A229" t="s">
        <v>6</v>
      </c>
      <c r="B229">
        <v>95.959595959595958</v>
      </c>
      <c r="C229">
        <v>1</v>
      </c>
      <c r="D229" s="3">
        <v>2</v>
      </c>
      <c r="E229" s="3">
        <v>3</v>
      </c>
    </row>
    <row r="230" spans="1:5" x14ac:dyDescent="0.2">
      <c r="A230" t="s">
        <v>6</v>
      </c>
      <c r="B230">
        <v>93.166666666666657</v>
      </c>
      <c r="C230">
        <v>0</v>
      </c>
      <c r="D230" s="3">
        <v>2</v>
      </c>
      <c r="E230" s="3">
        <v>3</v>
      </c>
    </row>
    <row r="231" spans="1:5" x14ac:dyDescent="0.2">
      <c r="A231" t="s">
        <v>6</v>
      </c>
      <c r="B231">
        <v>91.860465116279073</v>
      </c>
      <c r="C231">
        <v>1</v>
      </c>
      <c r="D231" s="3">
        <v>2</v>
      </c>
      <c r="E231" s="3">
        <v>3</v>
      </c>
    </row>
    <row r="232" spans="1:5" x14ac:dyDescent="0.2">
      <c r="A232" t="s">
        <v>6</v>
      </c>
      <c r="B232">
        <v>100</v>
      </c>
      <c r="C232">
        <v>1</v>
      </c>
      <c r="D232" s="3">
        <v>2</v>
      </c>
      <c r="E232" s="3">
        <v>3</v>
      </c>
    </row>
    <row r="233" spans="1:5" x14ac:dyDescent="0.2">
      <c r="A233" t="s">
        <v>6</v>
      </c>
      <c r="B233">
        <v>100</v>
      </c>
      <c r="C233">
        <v>1</v>
      </c>
      <c r="D233" s="3">
        <v>2</v>
      </c>
      <c r="E233" s="3">
        <v>3</v>
      </c>
    </row>
    <row r="234" spans="1:5" x14ac:dyDescent="0.2">
      <c r="A234" t="s">
        <v>6</v>
      </c>
      <c r="B234">
        <v>97.101449275362313</v>
      </c>
      <c r="C234">
        <v>1</v>
      </c>
      <c r="D234" s="3">
        <v>2</v>
      </c>
      <c r="E234" s="3">
        <v>3</v>
      </c>
    </row>
    <row r="235" spans="1:5" x14ac:dyDescent="0.2">
      <c r="A235" t="s">
        <v>6</v>
      </c>
      <c r="B235">
        <v>93.137254901960787</v>
      </c>
      <c r="C235">
        <v>1</v>
      </c>
      <c r="D235" s="3">
        <v>2</v>
      </c>
      <c r="E235" s="3">
        <v>3</v>
      </c>
    </row>
    <row r="236" spans="1:5" x14ac:dyDescent="0.2">
      <c r="A236" t="s">
        <v>6</v>
      </c>
      <c r="B236">
        <v>95.833333333333343</v>
      </c>
      <c r="C236">
        <v>1</v>
      </c>
      <c r="D236" s="3">
        <v>2</v>
      </c>
      <c r="E236" s="3">
        <v>3</v>
      </c>
    </row>
    <row r="237" spans="1:5" x14ac:dyDescent="0.2">
      <c r="A237" t="s">
        <v>6</v>
      </c>
      <c r="B237">
        <v>98.540145985401466</v>
      </c>
      <c r="C237">
        <v>1</v>
      </c>
      <c r="D237" s="3">
        <v>2</v>
      </c>
      <c r="E237" s="3">
        <v>3</v>
      </c>
    </row>
    <row r="238" spans="1:5" x14ac:dyDescent="0.2">
      <c r="A238" t="s">
        <v>6</v>
      </c>
      <c r="B238">
        <v>90.051020408163268</v>
      </c>
      <c r="C238">
        <v>1</v>
      </c>
      <c r="D238" s="3">
        <v>2</v>
      </c>
      <c r="E238" s="3">
        <v>3</v>
      </c>
    </row>
    <row r="239" spans="1:5" x14ac:dyDescent="0.2">
      <c r="A239" t="s">
        <v>6</v>
      </c>
      <c r="B239">
        <v>100</v>
      </c>
      <c r="C239">
        <v>1</v>
      </c>
      <c r="D239" s="3">
        <v>2</v>
      </c>
      <c r="E239" s="3">
        <v>3</v>
      </c>
    </row>
    <row r="240" spans="1:5" x14ac:dyDescent="0.2">
      <c r="A240" t="s">
        <v>6</v>
      </c>
      <c r="B240">
        <v>71.979434447300775</v>
      </c>
      <c r="C240">
        <v>1</v>
      </c>
      <c r="D240" s="3">
        <v>2</v>
      </c>
      <c r="E240" s="3">
        <v>3</v>
      </c>
    </row>
    <row r="241" spans="1:5" x14ac:dyDescent="0.2">
      <c r="A241" t="s">
        <v>6</v>
      </c>
      <c r="B241">
        <v>70.370370370370367</v>
      </c>
      <c r="C241">
        <v>1</v>
      </c>
      <c r="D241" s="3">
        <v>2</v>
      </c>
      <c r="E241" s="3">
        <v>3</v>
      </c>
    </row>
    <row r="242" spans="1:5" x14ac:dyDescent="0.2">
      <c r="A242" t="s">
        <v>6</v>
      </c>
      <c r="B242">
        <v>96.71641791044776</v>
      </c>
      <c r="C242">
        <v>1</v>
      </c>
      <c r="D242" s="3">
        <v>2</v>
      </c>
      <c r="E242" s="3">
        <v>3</v>
      </c>
    </row>
    <row r="243" spans="1:5" x14ac:dyDescent="0.2">
      <c r="A243" t="s">
        <v>6</v>
      </c>
      <c r="B243">
        <v>96.694214876033058</v>
      </c>
      <c r="C243">
        <v>1</v>
      </c>
      <c r="D243" s="3">
        <v>2</v>
      </c>
      <c r="E243" s="3">
        <v>3</v>
      </c>
    </row>
    <row r="244" spans="1:5" x14ac:dyDescent="0.2">
      <c r="A244" t="s">
        <v>6</v>
      </c>
      <c r="B244">
        <v>83.333333333333343</v>
      </c>
      <c r="C244">
        <v>1</v>
      </c>
      <c r="D244" s="3">
        <v>2</v>
      </c>
      <c r="E244" s="3">
        <v>3</v>
      </c>
    </row>
    <row r="245" spans="1:5" x14ac:dyDescent="0.2">
      <c r="A245" t="s">
        <v>6</v>
      </c>
      <c r="B245">
        <v>96.226415094339629</v>
      </c>
      <c r="C245">
        <v>1</v>
      </c>
      <c r="D245" s="3">
        <v>2</v>
      </c>
      <c r="E245" s="3">
        <v>3</v>
      </c>
    </row>
    <row r="246" spans="1:5" x14ac:dyDescent="0.2">
      <c r="A246" t="s">
        <v>19</v>
      </c>
      <c r="B246">
        <v>90.697674418604649</v>
      </c>
      <c r="C246">
        <v>1</v>
      </c>
      <c r="D246" s="3">
        <v>2</v>
      </c>
      <c r="E246" s="3">
        <v>3</v>
      </c>
    </row>
    <row r="247" spans="1:5" x14ac:dyDescent="0.2">
      <c r="A247" t="s">
        <v>19</v>
      </c>
      <c r="B247">
        <v>100</v>
      </c>
      <c r="C247">
        <v>1</v>
      </c>
      <c r="D247" s="3">
        <v>2</v>
      </c>
      <c r="E247" s="3">
        <v>3</v>
      </c>
    </row>
    <row r="248" spans="1:5" x14ac:dyDescent="0.2">
      <c r="A248" t="s">
        <v>19</v>
      </c>
      <c r="B248">
        <v>72.368421052631575</v>
      </c>
      <c r="C248">
        <v>1</v>
      </c>
      <c r="D248" s="3">
        <v>2</v>
      </c>
      <c r="E248" s="3">
        <v>3</v>
      </c>
    </row>
    <row r="249" spans="1:5" x14ac:dyDescent="0.2">
      <c r="A249" t="s">
        <v>19</v>
      </c>
      <c r="B249">
        <v>94.656488549618317</v>
      </c>
      <c r="C249">
        <v>1</v>
      </c>
      <c r="D249" s="3">
        <v>2</v>
      </c>
      <c r="E249" s="3">
        <v>3</v>
      </c>
    </row>
    <row r="250" spans="1:5" x14ac:dyDescent="0.2">
      <c r="A250" t="s">
        <v>19</v>
      </c>
      <c r="B250">
        <v>92.415730337078656</v>
      </c>
      <c r="C250">
        <v>1</v>
      </c>
      <c r="D250" s="3">
        <v>2</v>
      </c>
      <c r="E250" s="3">
        <v>3</v>
      </c>
    </row>
    <row r="251" spans="1:5" x14ac:dyDescent="0.2">
      <c r="A251" t="s">
        <v>19</v>
      </c>
      <c r="B251">
        <v>100</v>
      </c>
      <c r="C251">
        <v>1</v>
      </c>
      <c r="D251" s="3">
        <v>2</v>
      </c>
      <c r="E251" s="3">
        <v>3</v>
      </c>
    </row>
    <row r="252" spans="1:5" x14ac:dyDescent="0.2">
      <c r="A252" t="s">
        <v>19</v>
      </c>
      <c r="B252">
        <v>88.571428571428569</v>
      </c>
      <c r="C252">
        <v>1</v>
      </c>
      <c r="D252" s="3">
        <v>2</v>
      </c>
      <c r="E252" s="3">
        <v>3</v>
      </c>
    </row>
    <row r="253" spans="1:5" x14ac:dyDescent="0.2">
      <c r="A253" t="s">
        <v>19</v>
      </c>
      <c r="B253">
        <v>77.966101694915253</v>
      </c>
      <c r="C253">
        <v>1</v>
      </c>
      <c r="D253" s="3">
        <v>2</v>
      </c>
      <c r="E253" s="3">
        <v>3</v>
      </c>
    </row>
    <row r="254" spans="1:5" x14ac:dyDescent="0.2">
      <c r="A254" t="s">
        <v>19</v>
      </c>
      <c r="B254">
        <v>100</v>
      </c>
      <c r="C254">
        <v>1</v>
      </c>
      <c r="D254" s="3">
        <v>2</v>
      </c>
      <c r="E254" s="3">
        <v>3</v>
      </c>
    </row>
    <row r="255" spans="1:5" x14ac:dyDescent="0.2">
      <c r="A255" t="s">
        <v>19</v>
      </c>
      <c r="B255">
        <v>89.932885906040269</v>
      </c>
      <c r="C255">
        <v>1</v>
      </c>
      <c r="D255" s="3">
        <v>2</v>
      </c>
      <c r="E255" s="3">
        <v>3</v>
      </c>
    </row>
    <row r="256" spans="1:5" x14ac:dyDescent="0.2">
      <c r="A256" t="s">
        <v>19</v>
      </c>
      <c r="B256">
        <v>79.894179894179899</v>
      </c>
      <c r="C256">
        <v>1</v>
      </c>
      <c r="D256" s="3">
        <v>2</v>
      </c>
      <c r="E256" s="3">
        <v>3</v>
      </c>
    </row>
    <row r="257" spans="1:5" x14ac:dyDescent="0.2">
      <c r="A257" t="s">
        <v>19</v>
      </c>
      <c r="B257">
        <v>94.318181818181827</v>
      </c>
      <c r="C257">
        <v>1</v>
      </c>
      <c r="D257" s="3">
        <v>2</v>
      </c>
      <c r="E257" s="3">
        <v>3</v>
      </c>
    </row>
    <row r="258" spans="1:5" x14ac:dyDescent="0.2">
      <c r="A258" t="s">
        <v>19</v>
      </c>
      <c r="B258">
        <v>81.081081081081081</v>
      </c>
      <c r="C258">
        <v>1</v>
      </c>
      <c r="D258" s="3">
        <v>2</v>
      </c>
      <c r="E258" s="3">
        <v>3</v>
      </c>
    </row>
    <row r="259" spans="1:5" x14ac:dyDescent="0.2">
      <c r="A259" t="s">
        <v>19</v>
      </c>
      <c r="B259">
        <v>100</v>
      </c>
      <c r="C259">
        <v>1</v>
      </c>
      <c r="D259" s="3">
        <v>2</v>
      </c>
      <c r="E259" s="3">
        <v>3</v>
      </c>
    </row>
    <row r="260" spans="1:5" x14ac:dyDescent="0.2">
      <c r="A260" t="s">
        <v>19</v>
      </c>
      <c r="B260">
        <v>51.470588235294116</v>
      </c>
      <c r="C260">
        <v>1</v>
      </c>
      <c r="D260" s="3">
        <v>2</v>
      </c>
      <c r="E260" s="3">
        <v>3</v>
      </c>
    </row>
    <row r="261" spans="1:5" x14ac:dyDescent="0.2">
      <c r="A261" t="s">
        <v>19</v>
      </c>
      <c r="B261">
        <v>90.555555555555557</v>
      </c>
      <c r="C261">
        <v>1</v>
      </c>
      <c r="D261" s="3">
        <v>2</v>
      </c>
      <c r="E261" s="3">
        <v>3</v>
      </c>
    </row>
    <row r="262" spans="1:5" x14ac:dyDescent="0.2">
      <c r="A262" t="s">
        <v>19</v>
      </c>
      <c r="B262">
        <v>100</v>
      </c>
      <c r="C262">
        <v>1</v>
      </c>
      <c r="D262" s="3">
        <v>2</v>
      </c>
      <c r="E262" s="3">
        <v>3</v>
      </c>
    </row>
    <row r="263" spans="1:5" x14ac:dyDescent="0.2">
      <c r="A263" t="s">
        <v>19</v>
      </c>
      <c r="B263">
        <v>78.703703703703709</v>
      </c>
      <c r="C263">
        <v>1</v>
      </c>
      <c r="D263" s="3">
        <v>2</v>
      </c>
      <c r="E263" s="3">
        <v>3</v>
      </c>
    </row>
    <row r="264" spans="1:5" x14ac:dyDescent="0.2">
      <c r="A264" t="s">
        <v>19</v>
      </c>
      <c r="B264">
        <v>84.461152882205511</v>
      </c>
      <c r="C264">
        <v>1</v>
      </c>
      <c r="D264" s="3">
        <v>2</v>
      </c>
      <c r="E264" s="3">
        <v>3</v>
      </c>
    </row>
    <row r="265" spans="1:5" x14ac:dyDescent="0.2">
      <c r="A265" t="s">
        <v>19</v>
      </c>
      <c r="B265">
        <v>92.10526315789474</v>
      </c>
      <c r="C265">
        <v>1</v>
      </c>
      <c r="D265" s="3">
        <v>2</v>
      </c>
      <c r="E265" s="3">
        <v>3</v>
      </c>
    </row>
    <row r="266" spans="1:5" x14ac:dyDescent="0.2">
      <c r="A266" t="s">
        <v>19</v>
      </c>
      <c r="B266">
        <v>84.833333333333343</v>
      </c>
      <c r="C266">
        <v>0</v>
      </c>
      <c r="D266" s="3">
        <v>2</v>
      </c>
      <c r="E266" s="3">
        <v>3</v>
      </c>
    </row>
    <row r="267" spans="1:5" x14ac:dyDescent="0.2">
      <c r="A267" t="s">
        <v>19</v>
      </c>
      <c r="B267">
        <v>91.262135922330103</v>
      </c>
      <c r="C267">
        <v>1</v>
      </c>
      <c r="D267" s="3">
        <v>2</v>
      </c>
      <c r="E267" s="3">
        <v>3</v>
      </c>
    </row>
    <row r="268" spans="1:5" x14ac:dyDescent="0.2">
      <c r="A268" t="s">
        <v>18</v>
      </c>
      <c r="B268">
        <v>92</v>
      </c>
      <c r="C268">
        <v>1</v>
      </c>
      <c r="D268" s="3">
        <v>2</v>
      </c>
      <c r="E268" s="3">
        <v>3</v>
      </c>
    </row>
    <row r="269" spans="1:5" x14ac:dyDescent="0.2">
      <c r="A269" t="s">
        <v>18</v>
      </c>
      <c r="B269">
        <v>86.842105263157904</v>
      </c>
      <c r="C269">
        <v>1</v>
      </c>
      <c r="D269" s="3">
        <v>2</v>
      </c>
      <c r="E269" s="3">
        <v>3</v>
      </c>
    </row>
    <row r="270" spans="1:5" x14ac:dyDescent="0.2">
      <c r="A270" t="s">
        <v>18</v>
      </c>
      <c r="B270">
        <v>94.73684210526315</v>
      </c>
      <c r="C270">
        <v>1</v>
      </c>
      <c r="D270" s="3">
        <v>2</v>
      </c>
      <c r="E270" s="3">
        <v>3</v>
      </c>
    </row>
    <row r="271" spans="1:5" x14ac:dyDescent="0.2">
      <c r="A271" t="s">
        <v>18</v>
      </c>
      <c r="B271">
        <v>100</v>
      </c>
      <c r="C271">
        <v>1</v>
      </c>
      <c r="D271" s="3">
        <v>2</v>
      </c>
      <c r="E271" s="3">
        <v>3</v>
      </c>
    </row>
    <row r="272" spans="1:5" x14ac:dyDescent="0.2">
      <c r="A272" t="s">
        <v>18</v>
      </c>
      <c r="B272">
        <v>93.023255813953483</v>
      </c>
      <c r="C272">
        <v>1</v>
      </c>
      <c r="D272" s="3">
        <v>2</v>
      </c>
      <c r="E272" s="3">
        <v>3</v>
      </c>
    </row>
    <row r="273" spans="1:5" x14ac:dyDescent="0.2">
      <c r="A273" t="s">
        <v>18</v>
      </c>
      <c r="B273">
        <v>97.863247863247864</v>
      </c>
      <c r="C273">
        <v>1</v>
      </c>
      <c r="D273" s="3">
        <v>2</v>
      </c>
      <c r="E273" s="3">
        <v>3</v>
      </c>
    </row>
    <row r="274" spans="1:5" x14ac:dyDescent="0.2">
      <c r="A274" t="s">
        <v>18</v>
      </c>
      <c r="B274">
        <v>91.370558375634516</v>
      </c>
      <c r="C274">
        <v>1</v>
      </c>
      <c r="D274" s="3">
        <v>2</v>
      </c>
      <c r="E274" s="3">
        <v>3</v>
      </c>
    </row>
    <row r="275" spans="1:5" x14ac:dyDescent="0.2">
      <c r="A275" t="s">
        <v>18</v>
      </c>
      <c r="B275">
        <v>78.527607361963192</v>
      </c>
      <c r="C275">
        <v>1</v>
      </c>
      <c r="D275" s="3">
        <v>2</v>
      </c>
      <c r="E275" s="3">
        <v>3</v>
      </c>
    </row>
    <row r="276" spans="1:5" x14ac:dyDescent="0.2">
      <c r="A276" t="s">
        <v>18</v>
      </c>
      <c r="B276">
        <v>96.703296703296701</v>
      </c>
      <c r="C276">
        <v>1</v>
      </c>
      <c r="D276" s="3">
        <v>2</v>
      </c>
      <c r="E276" s="3">
        <v>3</v>
      </c>
    </row>
    <row r="277" spans="1:5" x14ac:dyDescent="0.2">
      <c r="A277" t="s">
        <v>18</v>
      </c>
      <c r="B277">
        <v>100</v>
      </c>
      <c r="C277">
        <v>1</v>
      </c>
      <c r="D277" s="3">
        <v>2</v>
      </c>
      <c r="E277" s="3">
        <v>3</v>
      </c>
    </row>
    <row r="278" spans="1:5" x14ac:dyDescent="0.2">
      <c r="A278" t="s">
        <v>18</v>
      </c>
      <c r="B278">
        <v>97.777777777777771</v>
      </c>
      <c r="C278">
        <v>1</v>
      </c>
      <c r="D278" s="3">
        <v>2</v>
      </c>
      <c r="E278" s="3">
        <v>3</v>
      </c>
    </row>
    <row r="279" spans="1:5" x14ac:dyDescent="0.2">
      <c r="A279" t="s">
        <v>18</v>
      </c>
      <c r="B279">
        <v>55.813953488372093</v>
      </c>
      <c r="C279">
        <v>1</v>
      </c>
      <c r="D279" s="3">
        <v>2</v>
      </c>
      <c r="E279" s="3">
        <v>3</v>
      </c>
    </row>
    <row r="280" spans="1:5" x14ac:dyDescent="0.2">
      <c r="A280" t="s">
        <v>18</v>
      </c>
      <c r="B280">
        <v>94.339622641509436</v>
      </c>
      <c r="C280">
        <v>1</v>
      </c>
      <c r="D280" s="3">
        <v>2</v>
      </c>
      <c r="E280" s="3">
        <v>3</v>
      </c>
    </row>
    <row r="281" spans="1:5" x14ac:dyDescent="0.2">
      <c r="A281" t="s">
        <v>18</v>
      </c>
      <c r="B281">
        <v>80</v>
      </c>
      <c r="C281">
        <v>1</v>
      </c>
      <c r="D281" s="3">
        <v>2</v>
      </c>
      <c r="E281" s="3">
        <v>3</v>
      </c>
    </row>
    <row r="282" spans="1:5" x14ac:dyDescent="0.2">
      <c r="A282" t="s">
        <v>18</v>
      </c>
      <c r="B282">
        <v>95.938104448742749</v>
      </c>
      <c r="C282">
        <v>1</v>
      </c>
      <c r="D282" s="3">
        <v>2</v>
      </c>
      <c r="E282" s="3">
        <v>3</v>
      </c>
    </row>
    <row r="283" spans="1:5" x14ac:dyDescent="0.2">
      <c r="A283" t="s">
        <v>18</v>
      </c>
      <c r="B283">
        <v>96.32352941176471</v>
      </c>
      <c r="C283">
        <v>1</v>
      </c>
      <c r="D283" s="3">
        <v>2</v>
      </c>
      <c r="E283" s="3">
        <v>3</v>
      </c>
    </row>
    <row r="284" spans="1:5" x14ac:dyDescent="0.2">
      <c r="A284" t="s">
        <v>18</v>
      </c>
      <c r="B284">
        <v>100</v>
      </c>
      <c r="C284">
        <v>1</v>
      </c>
      <c r="D284" s="3">
        <v>2</v>
      </c>
      <c r="E284" s="3">
        <v>3</v>
      </c>
    </row>
    <row r="285" spans="1:5" x14ac:dyDescent="0.2">
      <c r="A285" t="s">
        <v>18</v>
      </c>
      <c r="B285">
        <v>67.64705882352942</v>
      </c>
      <c r="C285">
        <v>1</v>
      </c>
      <c r="D285" s="3">
        <v>2</v>
      </c>
      <c r="E285" s="3">
        <v>3</v>
      </c>
    </row>
    <row r="286" spans="1:5" x14ac:dyDescent="0.2">
      <c r="A286" t="s">
        <v>18</v>
      </c>
      <c r="B286">
        <v>87.333333333333329</v>
      </c>
      <c r="C286">
        <v>1</v>
      </c>
      <c r="D286" s="3">
        <v>2</v>
      </c>
      <c r="E286" s="3">
        <v>3</v>
      </c>
    </row>
    <row r="287" spans="1:5" x14ac:dyDescent="0.2">
      <c r="A287" t="s">
        <v>18</v>
      </c>
      <c r="B287">
        <v>98.333333333333329</v>
      </c>
      <c r="C287">
        <v>0</v>
      </c>
      <c r="D287" s="3">
        <v>2</v>
      </c>
      <c r="E287" s="3">
        <v>3</v>
      </c>
    </row>
    <row r="288" spans="1:5" x14ac:dyDescent="0.2">
      <c r="A288" t="s">
        <v>18</v>
      </c>
      <c r="B288">
        <v>90.960451977401121</v>
      </c>
      <c r="C288">
        <v>1</v>
      </c>
      <c r="D288" s="3">
        <v>2</v>
      </c>
      <c r="E288" s="3">
        <v>3</v>
      </c>
    </row>
    <row r="289" spans="1:5" x14ac:dyDescent="0.2">
      <c r="A289" t="s">
        <v>18</v>
      </c>
      <c r="B289">
        <v>100</v>
      </c>
      <c r="C289">
        <v>1</v>
      </c>
      <c r="D289" s="3">
        <v>2</v>
      </c>
      <c r="E289" s="3">
        <v>3</v>
      </c>
    </row>
    <row r="290" spans="1:5" x14ac:dyDescent="0.2">
      <c r="A290" t="s">
        <v>6</v>
      </c>
      <c r="B290">
        <v>75.238095238095241</v>
      </c>
      <c r="C290">
        <v>1</v>
      </c>
      <c r="D290" s="3">
        <v>2</v>
      </c>
      <c r="E290" s="3">
        <v>5</v>
      </c>
    </row>
    <row r="291" spans="1:5" x14ac:dyDescent="0.2">
      <c r="A291" t="s">
        <v>6</v>
      </c>
      <c r="B291">
        <v>95.180722891566262</v>
      </c>
      <c r="C291">
        <v>1</v>
      </c>
      <c r="D291" s="3">
        <v>2</v>
      </c>
      <c r="E291" s="3">
        <v>5</v>
      </c>
    </row>
    <row r="292" spans="1:5" x14ac:dyDescent="0.2">
      <c r="A292" t="s">
        <v>6</v>
      </c>
      <c r="B292">
        <v>90</v>
      </c>
      <c r="C292">
        <v>1</v>
      </c>
      <c r="D292" s="3">
        <v>2</v>
      </c>
      <c r="E292" s="3">
        <v>5</v>
      </c>
    </row>
    <row r="293" spans="1:5" x14ac:dyDescent="0.2">
      <c r="A293" t="s">
        <v>6</v>
      </c>
      <c r="B293">
        <v>85.087719298245617</v>
      </c>
      <c r="C293">
        <v>1</v>
      </c>
      <c r="D293" s="3">
        <v>2</v>
      </c>
      <c r="E293" s="3">
        <v>5</v>
      </c>
    </row>
    <row r="294" spans="1:5" x14ac:dyDescent="0.2">
      <c r="A294" t="s">
        <v>6</v>
      </c>
      <c r="B294">
        <v>91.111111111111114</v>
      </c>
      <c r="C294">
        <v>1</v>
      </c>
      <c r="D294" s="3">
        <v>2</v>
      </c>
      <c r="E294" s="3">
        <v>5</v>
      </c>
    </row>
    <row r="295" spans="1:5" x14ac:dyDescent="0.2">
      <c r="A295" t="s">
        <v>6</v>
      </c>
      <c r="B295">
        <v>47.674418604651166</v>
      </c>
      <c r="C295">
        <v>1</v>
      </c>
      <c r="D295" s="3">
        <v>2</v>
      </c>
      <c r="E295" s="3">
        <v>5</v>
      </c>
    </row>
    <row r="296" spans="1:5" x14ac:dyDescent="0.2">
      <c r="A296" t="s">
        <v>6</v>
      </c>
      <c r="B296">
        <v>100</v>
      </c>
      <c r="C296">
        <v>1</v>
      </c>
      <c r="D296" s="3">
        <v>2</v>
      </c>
      <c r="E296" s="3">
        <v>5</v>
      </c>
    </row>
    <row r="297" spans="1:5" x14ac:dyDescent="0.2">
      <c r="A297" t="s">
        <v>6</v>
      </c>
      <c r="B297">
        <v>84.235294117647058</v>
      </c>
      <c r="C297">
        <v>1</v>
      </c>
      <c r="D297" s="3">
        <v>2</v>
      </c>
      <c r="E297" s="3">
        <v>5</v>
      </c>
    </row>
    <row r="298" spans="1:5" x14ac:dyDescent="0.2">
      <c r="A298" t="s">
        <v>6</v>
      </c>
      <c r="B298">
        <v>81.415929203539832</v>
      </c>
      <c r="C298">
        <v>1</v>
      </c>
      <c r="D298" s="3">
        <v>2</v>
      </c>
      <c r="E298" s="3">
        <v>5</v>
      </c>
    </row>
    <row r="299" spans="1:5" x14ac:dyDescent="0.2">
      <c r="A299" t="s">
        <v>6</v>
      </c>
      <c r="B299">
        <v>97.368421052631575</v>
      </c>
      <c r="C299">
        <v>1</v>
      </c>
      <c r="D299" s="3">
        <v>2</v>
      </c>
      <c r="E299" s="3">
        <v>5</v>
      </c>
    </row>
    <row r="300" spans="1:5" x14ac:dyDescent="0.2">
      <c r="A300" t="s">
        <v>6</v>
      </c>
      <c r="B300">
        <v>88.805970149253739</v>
      </c>
      <c r="C300">
        <v>1</v>
      </c>
      <c r="D300" s="3">
        <v>2</v>
      </c>
      <c r="E300" s="3">
        <v>5</v>
      </c>
    </row>
    <row r="301" spans="1:5" x14ac:dyDescent="0.2">
      <c r="A301" t="s">
        <v>6</v>
      </c>
      <c r="B301">
        <v>90.306122448979593</v>
      </c>
      <c r="C301">
        <v>1</v>
      </c>
      <c r="D301" s="3">
        <v>2</v>
      </c>
      <c r="E301" s="3">
        <v>5</v>
      </c>
    </row>
    <row r="302" spans="1:5" x14ac:dyDescent="0.2">
      <c r="A302" t="s">
        <v>6</v>
      </c>
      <c r="B302">
        <v>100</v>
      </c>
      <c r="C302">
        <v>1</v>
      </c>
      <c r="D302" s="3">
        <v>2</v>
      </c>
      <c r="E302" s="3">
        <v>5</v>
      </c>
    </row>
    <row r="303" spans="1:5" x14ac:dyDescent="0.2">
      <c r="A303" t="s">
        <v>6</v>
      </c>
      <c r="B303">
        <v>100</v>
      </c>
      <c r="C303">
        <v>1</v>
      </c>
      <c r="D303" s="3">
        <v>2</v>
      </c>
      <c r="E303" s="3">
        <v>5</v>
      </c>
    </row>
    <row r="304" spans="1:5" x14ac:dyDescent="0.2">
      <c r="A304" t="s">
        <v>6</v>
      </c>
      <c r="B304">
        <v>100</v>
      </c>
      <c r="C304">
        <v>1</v>
      </c>
      <c r="D304" s="3">
        <v>2</v>
      </c>
      <c r="E304" s="3">
        <v>5</v>
      </c>
    </row>
    <row r="305" spans="1:5" x14ac:dyDescent="0.2">
      <c r="A305" t="s">
        <v>6</v>
      </c>
      <c r="B305">
        <v>100</v>
      </c>
      <c r="C305">
        <v>1</v>
      </c>
      <c r="D305" s="3">
        <v>2</v>
      </c>
      <c r="E305" s="3">
        <v>5</v>
      </c>
    </row>
    <row r="306" spans="1:5" x14ac:dyDescent="0.2">
      <c r="A306" t="s">
        <v>6</v>
      </c>
      <c r="B306">
        <v>96.44670050761421</v>
      </c>
      <c r="C306">
        <v>1</v>
      </c>
      <c r="D306" s="3">
        <v>2</v>
      </c>
      <c r="E306" s="3">
        <v>5</v>
      </c>
    </row>
    <row r="307" spans="1:5" x14ac:dyDescent="0.2">
      <c r="A307" t="s">
        <v>6</v>
      </c>
      <c r="B307">
        <v>98.86363636363636</v>
      </c>
      <c r="C307">
        <v>1</v>
      </c>
      <c r="D307" s="3">
        <v>2</v>
      </c>
      <c r="E307" s="3">
        <v>5</v>
      </c>
    </row>
    <row r="308" spans="1:5" x14ac:dyDescent="0.2">
      <c r="A308" t="s">
        <v>6</v>
      </c>
      <c r="B308">
        <v>89.0625</v>
      </c>
      <c r="C308">
        <v>1</v>
      </c>
      <c r="D308" s="3">
        <v>2</v>
      </c>
      <c r="E308" s="3">
        <v>5</v>
      </c>
    </row>
    <row r="309" spans="1:5" x14ac:dyDescent="0.2">
      <c r="A309" t="s">
        <v>6</v>
      </c>
      <c r="B309">
        <v>58.064516129032263</v>
      </c>
      <c r="C309">
        <v>1</v>
      </c>
      <c r="D309" s="3">
        <v>2</v>
      </c>
      <c r="E309" s="3">
        <v>5</v>
      </c>
    </row>
    <row r="310" spans="1:5" x14ac:dyDescent="0.2">
      <c r="A310" t="s">
        <v>6</v>
      </c>
      <c r="B310">
        <v>83.152173913043484</v>
      </c>
      <c r="C310">
        <v>1</v>
      </c>
      <c r="D310" s="3">
        <v>2</v>
      </c>
      <c r="E310" s="3">
        <v>5</v>
      </c>
    </row>
    <row r="311" spans="1:5" x14ac:dyDescent="0.2">
      <c r="A311" t="s">
        <v>6</v>
      </c>
      <c r="B311">
        <v>88.028169014084511</v>
      </c>
      <c r="C311">
        <v>1</v>
      </c>
      <c r="D311" s="3">
        <v>2</v>
      </c>
      <c r="E311" s="3">
        <v>5</v>
      </c>
    </row>
    <row r="312" spans="1:5" x14ac:dyDescent="0.2">
      <c r="A312" t="s">
        <v>19</v>
      </c>
      <c r="B312">
        <v>98.148148148148152</v>
      </c>
      <c r="C312">
        <v>1</v>
      </c>
      <c r="D312" s="3">
        <v>2</v>
      </c>
      <c r="E312" s="3">
        <v>5</v>
      </c>
    </row>
    <row r="313" spans="1:5" x14ac:dyDescent="0.2">
      <c r="A313" t="s">
        <v>19</v>
      </c>
      <c r="B313">
        <v>79.43925233644859</v>
      </c>
      <c r="C313">
        <v>1</v>
      </c>
      <c r="D313" s="3">
        <v>2</v>
      </c>
      <c r="E313" s="3">
        <v>5</v>
      </c>
    </row>
    <row r="314" spans="1:5" x14ac:dyDescent="0.2">
      <c r="A314" t="s">
        <v>19</v>
      </c>
      <c r="B314">
        <v>94.155844155844164</v>
      </c>
      <c r="C314">
        <v>1</v>
      </c>
      <c r="D314" s="3">
        <v>2</v>
      </c>
      <c r="E314" s="3">
        <v>5</v>
      </c>
    </row>
    <row r="315" spans="1:5" x14ac:dyDescent="0.2">
      <c r="A315" t="s">
        <v>19</v>
      </c>
      <c r="B315">
        <v>86.764705882352942</v>
      </c>
      <c r="C315">
        <v>1</v>
      </c>
      <c r="D315" s="3">
        <v>2</v>
      </c>
      <c r="E315" s="3">
        <v>5</v>
      </c>
    </row>
    <row r="316" spans="1:5" x14ac:dyDescent="0.2">
      <c r="A316" t="s">
        <v>19</v>
      </c>
      <c r="B316">
        <v>89.644970414201183</v>
      </c>
      <c r="C316">
        <v>1</v>
      </c>
      <c r="D316" s="3">
        <v>2</v>
      </c>
      <c r="E316" s="3">
        <v>5</v>
      </c>
    </row>
    <row r="317" spans="1:5" x14ac:dyDescent="0.2">
      <c r="A317" t="s">
        <v>19</v>
      </c>
      <c r="B317">
        <v>100</v>
      </c>
      <c r="C317">
        <v>1</v>
      </c>
      <c r="D317" s="3">
        <v>2</v>
      </c>
      <c r="E317" s="3">
        <v>5</v>
      </c>
    </row>
    <row r="318" spans="1:5" x14ac:dyDescent="0.2">
      <c r="A318" t="s">
        <v>19</v>
      </c>
      <c r="B318">
        <v>84.895833333333343</v>
      </c>
      <c r="C318">
        <v>1</v>
      </c>
      <c r="D318" s="3">
        <v>2</v>
      </c>
      <c r="E318" s="3">
        <v>5</v>
      </c>
    </row>
    <row r="319" spans="1:5" x14ac:dyDescent="0.2">
      <c r="A319" t="s">
        <v>19</v>
      </c>
      <c r="B319">
        <v>88.888888888888886</v>
      </c>
      <c r="C319">
        <v>1</v>
      </c>
      <c r="D319" s="3">
        <v>2</v>
      </c>
      <c r="E319" s="3">
        <v>5</v>
      </c>
    </row>
    <row r="320" spans="1:5" x14ac:dyDescent="0.2">
      <c r="A320" t="s">
        <v>19</v>
      </c>
      <c r="B320">
        <v>95.588235294117652</v>
      </c>
      <c r="C320">
        <v>1</v>
      </c>
      <c r="D320" s="3">
        <v>2</v>
      </c>
      <c r="E320" s="3">
        <v>5</v>
      </c>
    </row>
    <row r="321" spans="1:5" x14ac:dyDescent="0.2">
      <c r="A321" t="s">
        <v>19</v>
      </c>
      <c r="B321">
        <v>98.275862068965509</v>
      </c>
      <c r="C321">
        <v>1</v>
      </c>
      <c r="D321" s="3">
        <v>2</v>
      </c>
      <c r="E321" s="3">
        <v>5</v>
      </c>
    </row>
    <row r="322" spans="1:5" x14ac:dyDescent="0.2">
      <c r="A322" t="s">
        <v>19</v>
      </c>
      <c r="B322">
        <v>84.745762711864401</v>
      </c>
      <c r="C322">
        <v>1</v>
      </c>
      <c r="D322" s="3">
        <v>2</v>
      </c>
      <c r="E322" s="3">
        <v>5</v>
      </c>
    </row>
    <row r="323" spans="1:5" x14ac:dyDescent="0.2">
      <c r="A323" t="s">
        <v>19</v>
      </c>
      <c r="B323">
        <v>95.959595959595958</v>
      </c>
      <c r="C323">
        <v>1</v>
      </c>
      <c r="D323" s="3">
        <v>2</v>
      </c>
      <c r="E323" s="3">
        <v>5</v>
      </c>
    </row>
    <row r="324" spans="1:5" x14ac:dyDescent="0.2">
      <c r="A324" t="s">
        <v>19</v>
      </c>
      <c r="B324">
        <v>94.833333333333343</v>
      </c>
      <c r="C324">
        <v>1</v>
      </c>
      <c r="D324" s="3">
        <v>2</v>
      </c>
      <c r="E324" s="3">
        <v>5</v>
      </c>
    </row>
    <row r="325" spans="1:5" x14ac:dyDescent="0.2">
      <c r="A325" t="s">
        <v>19</v>
      </c>
      <c r="B325">
        <v>97.10526315789474</v>
      </c>
      <c r="C325">
        <v>1</v>
      </c>
      <c r="D325" s="3">
        <v>2</v>
      </c>
      <c r="E325" s="3">
        <v>5</v>
      </c>
    </row>
    <row r="326" spans="1:5" x14ac:dyDescent="0.2">
      <c r="A326" t="s">
        <v>19</v>
      </c>
      <c r="B326">
        <v>100</v>
      </c>
      <c r="C326">
        <v>1</v>
      </c>
      <c r="D326" s="3">
        <v>2</v>
      </c>
      <c r="E326" s="3">
        <v>5</v>
      </c>
    </row>
    <row r="327" spans="1:5" x14ac:dyDescent="0.2">
      <c r="A327" t="s">
        <v>19</v>
      </c>
      <c r="B327">
        <v>100</v>
      </c>
      <c r="C327">
        <v>1</v>
      </c>
      <c r="D327" s="3">
        <v>2</v>
      </c>
      <c r="E327" s="3">
        <v>5</v>
      </c>
    </row>
    <row r="328" spans="1:5" x14ac:dyDescent="0.2">
      <c r="A328" t="s">
        <v>19</v>
      </c>
      <c r="B328">
        <v>83.535528596187163</v>
      </c>
      <c r="C328">
        <v>1</v>
      </c>
      <c r="D328" s="3">
        <v>2</v>
      </c>
      <c r="E328" s="3">
        <v>5</v>
      </c>
    </row>
    <row r="329" spans="1:5" x14ac:dyDescent="0.2">
      <c r="A329" t="s">
        <v>19</v>
      </c>
      <c r="B329">
        <v>90.425531914893625</v>
      </c>
      <c r="C329">
        <v>1</v>
      </c>
      <c r="D329" s="3">
        <v>2</v>
      </c>
      <c r="E329" s="3">
        <v>5</v>
      </c>
    </row>
    <row r="330" spans="1:5" x14ac:dyDescent="0.2">
      <c r="A330" t="s">
        <v>19</v>
      </c>
      <c r="B330">
        <v>95.833333333333343</v>
      </c>
      <c r="C330">
        <v>1</v>
      </c>
      <c r="D330" s="3">
        <v>2</v>
      </c>
      <c r="E330" s="3">
        <v>5</v>
      </c>
    </row>
    <row r="331" spans="1:5" x14ac:dyDescent="0.2">
      <c r="A331" t="s">
        <v>19</v>
      </c>
      <c r="B331">
        <v>100</v>
      </c>
      <c r="C331">
        <v>1</v>
      </c>
      <c r="D331" s="3">
        <v>2</v>
      </c>
      <c r="E331" s="3">
        <v>5</v>
      </c>
    </row>
    <row r="332" spans="1:5" x14ac:dyDescent="0.2">
      <c r="A332" t="s">
        <v>19</v>
      </c>
      <c r="B332">
        <v>94.656488549618317</v>
      </c>
      <c r="C332">
        <v>1</v>
      </c>
      <c r="D332" s="3">
        <v>2</v>
      </c>
      <c r="E332" s="3">
        <v>5</v>
      </c>
    </row>
    <row r="333" spans="1:5" x14ac:dyDescent="0.2">
      <c r="A333" t="s">
        <v>19</v>
      </c>
      <c r="B333">
        <v>90.243902439024396</v>
      </c>
      <c r="C333">
        <v>1</v>
      </c>
      <c r="D333" s="3">
        <v>2</v>
      </c>
      <c r="E333" s="3">
        <v>5</v>
      </c>
    </row>
    <row r="334" spans="1:5" x14ac:dyDescent="0.2">
      <c r="A334" t="s">
        <v>18</v>
      </c>
      <c r="B334">
        <v>29.508196721311474</v>
      </c>
      <c r="C334">
        <v>1</v>
      </c>
      <c r="D334" s="3">
        <v>2</v>
      </c>
      <c r="E334" s="3">
        <v>5</v>
      </c>
    </row>
    <row r="335" spans="1:5" x14ac:dyDescent="0.2">
      <c r="A335" t="s">
        <v>18</v>
      </c>
      <c r="B335">
        <v>92.307692307692307</v>
      </c>
      <c r="C335">
        <v>1</v>
      </c>
      <c r="D335" s="3">
        <v>2</v>
      </c>
      <c r="E335" s="3">
        <v>5</v>
      </c>
    </row>
    <row r="336" spans="1:5" x14ac:dyDescent="0.2">
      <c r="A336" t="s">
        <v>18</v>
      </c>
      <c r="B336">
        <v>100</v>
      </c>
      <c r="C336">
        <v>1</v>
      </c>
      <c r="D336" s="3">
        <v>2</v>
      </c>
      <c r="E336" s="3">
        <v>5</v>
      </c>
    </row>
    <row r="337" spans="1:5" x14ac:dyDescent="0.2">
      <c r="A337" t="s">
        <v>18</v>
      </c>
      <c r="B337">
        <v>100</v>
      </c>
      <c r="C337">
        <v>1</v>
      </c>
      <c r="D337" s="3">
        <v>2</v>
      </c>
      <c r="E337" s="3">
        <v>5</v>
      </c>
    </row>
    <row r="338" spans="1:5" x14ac:dyDescent="0.2">
      <c r="A338" t="s">
        <v>18</v>
      </c>
      <c r="B338">
        <v>83.333333333333343</v>
      </c>
      <c r="C338">
        <v>1</v>
      </c>
      <c r="D338" s="3">
        <v>2</v>
      </c>
      <c r="E338" s="3">
        <v>5</v>
      </c>
    </row>
    <row r="339" spans="1:5" x14ac:dyDescent="0.2">
      <c r="A339" t="s">
        <v>18</v>
      </c>
      <c r="B339">
        <v>78.67647058823529</v>
      </c>
      <c r="C339">
        <v>1</v>
      </c>
      <c r="D339" s="3">
        <v>2</v>
      </c>
      <c r="E339" s="3">
        <v>5</v>
      </c>
    </row>
    <row r="340" spans="1:5" x14ac:dyDescent="0.2">
      <c r="A340" t="s">
        <v>18</v>
      </c>
      <c r="B340">
        <v>99.145299145299148</v>
      </c>
      <c r="C340">
        <v>1</v>
      </c>
      <c r="D340" s="3">
        <v>2</v>
      </c>
      <c r="E340" s="3">
        <v>5</v>
      </c>
    </row>
    <row r="341" spans="1:5" x14ac:dyDescent="0.2">
      <c r="A341" t="s">
        <v>18</v>
      </c>
      <c r="B341">
        <v>95.3125</v>
      </c>
      <c r="C341">
        <v>1</v>
      </c>
      <c r="D341" s="3">
        <v>2</v>
      </c>
      <c r="E341" s="3">
        <v>5</v>
      </c>
    </row>
    <row r="342" spans="1:5" x14ac:dyDescent="0.2">
      <c r="A342" t="s">
        <v>18</v>
      </c>
      <c r="B342">
        <v>95.564516129032256</v>
      </c>
      <c r="C342">
        <v>1</v>
      </c>
      <c r="D342" s="3">
        <v>2</v>
      </c>
      <c r="E342" s="3">
        <v>5</v>
      </c>
    </row>
    <row r="343" spans="1:5" x14ac:dyDescent="0.2">
      <c r="A343" t="s">
        <v>18</v>
      </c>
      <c r="B343">
        <v>92.248062015503876</v>
      </c>
      <c r="C343">
        <v>1</v>
      </c>
      <c r="D343" s="3">
        <v>2</v>
      </c>
      <c r="E343" s="3">
        <v>5</v>
      </c>
    </row>
    <row r="344" spans="1:5" x14ac:dyDescent="0.2">
      <c r="A344" t="s">
        <v>18</v>
      </c>
      <c r="B344">
        <v>100</v>
      </c>
      <c r="C344">
        <v>1</v>
      </c>
      <c r="D344" s="3">
        <v>2</v>
      </c>
      <c r="E344" s="3">
        <v>5</v>
      </c>
    </row>
    <row r="345" spans="1:5" x14ac:dyDescent="0.2">
      <c r="A345" t="s">
        <v>18</v>
      </c>
      <c r="B345">
        <v>94.339622641509436</v>
      </c>
      <c r="C345">
        <v>1</v>
      </c>
      <c r="D345" s="3">
        <v>2</v>
      </c>
      <c r="E345" s="3">
        <v>5</v>
      </c>
    </row>
    <row r="346" spans="1:5" x14ac:dyDescent="0.2">
      <c r="A346" t="s">
        <v>18</v>
      </c>
      <c r="B346">
        <v>90.133333333333326</v>
      </c>
      <c r="C346">
        <v>1</v>
      </c>
      <c r="D346" s="3">
        <v>2</v>
      </c>
      <c r="E346" s="3">
        <v>5</v>
      </c>
    </row>
    <row r="347" spans="1:5" x14ac:dyDescent="0.2">
      <c r="A347" t="s">
        <v>18</v>
      </c>
      <c r="B347">
        <v>97.872340425531917</v>
      </c>
      <c r="C347">
        <v>1</v>
      </c>
      <c r="D347" s="3">
        <v>2</v>
      </c>
      <c r="E347" s="3">
        <v>5</v>
      </c>
    </row>
    <row r="348" spans="1:5" x14ac:dyDescent="0.2">
      <c r="A348" t="s">
        <v>18</v>
      </c>
      <c r="B348">
        <v>100</v>
      </c>
      <c r="C348">
        <v>1</v>
      </c>
      <c r="D348" s="3">
        <v>2</v>
      </c>
      <c r="E348" s="3">
        <v>5</v>
      </c>
    </row>
    <row r="349" spans="1:5" x14ac:dyDescent="0.2">
      <c r="A349" t="s">
        <v>18</v>
      </c>
      <c r="B349">
        <v>98.373983739837399</v>
      </c>
      <c r="C349">
        <v>1</v>
      </c>
      <c r="D349" s="3">
        <v>2</v>
      </c>
      <c r="E349" s="3">
        <v>5</v>
      </c>
    </row>
    <row r="350" spans="1:5" x14ac:dyDescent="0.2">
      <c r="A350" t="s">
        <v>18</v>
      </c>
      <c r="B350">
        <v>90.659340659340657</v>
      </c>
      <c r="C350">
        <v>1</v>
      </c>
      <c r="D350" s="3">
        <v>2</v>
      </c>
      <c r="E350" s="3">
        <v>5</v>
      </c>
    </row>
    <row r="351" spans="1:5" x14ac:dyDescent="0.2">
      <c r="A351" t="s">
        <v>18</v>
      </c>
      <c r="B351">
        <v>95.563139931740608</v>
      </c>
      <c r="C351">
        <v>1</v>
      </c>
      <c r="D351" s="3">
        <v>2</v>
      </c>
      <c r="E351" s="3">
        <v>5</v>
      </c>
    </row>
    <row r="352" spans="1:5" x14ac:dyDescent="0.2">
      <c r="A352" t="s">
        <v>18</v>
      </c>
      <c r="B352">
        <v>97.48743718592965</v>
      </c>
      <c r="C352">
        <v>1</v>
      </c>
      <c r="D352" s="3">
        <v>2</v>
      </c>
      <c r="E352" s="3">
        <v>5</v>
      </c>
    </row>
    <row r="353" spans="1:5" x14ac:dyDescent="0.2">
      <c r="A353" t="s">
        <v>18</v>
      </c>
      <c r="B353">
        <v>96.202531645569621</v>
      </c>
      <c r="C353">
        <v>1</v>
      </c>
      <c r="D353" s="3">
        <v>2</v>
      </c>
      <c r="E353" s="3">
        <v>5</v>
      </c>
    </row>
    <row r="354" spans="1:5" x14ac:dyDescent="0.2">
      <c r="A354" t="s">
        <v>18</v>
      </c>
      <c r="B354">
        <v>100</v>
      </c>
      <c r="C354">
        <v>1</v>
      </c>
      <c r="D354" s="3">
        <v>2</v>
      </c>
      <c r="E354" s="3">
        <v>5</v>
      </c>
    </row>
    <row r="355" spans="1:5" x14ac:dyDescent="0.2">
      <c r="A355" t="s">
        <v>18</v>
      </c>
      <c r="B355">
        <v>72.554347826086953</v>
      </c>
      <c r="C355">
        <v>1</v>
      </c>
      <c r="D355" s="3">
        <v>2</v>
      </c>
      <c r="E355" s="3">
        <v>5</v>
      </c>
    </row>
    <row r="356" spans="1:5" x14ac:dyDescent="0.2">
      <c r="A356" t="s">
        <v>6</v>
      </c>
      <c r="B356">
        <v>94.666666666666671</v>
      </c>
      <c r="C356">
        <v>1</v>
      </c>
      <c r="D356" s="3">
        <v>2</v>
      </c>
      <c r="E356" s="3">
        <v>8</v>
      </c>
    </row>
    <row r="357" spans="1:5" x14ac:dyDescent="0.2">
      <c r="A357" t="s">
        <v>6</v>
      </c>
      <c r="B357">
        <v>86.419753086419746</v>
      </c>
      <c r="C357">
        <v>1</v>
      </c>
      <c r="D357" s="3">
        <v>2</v>
      </c>
      <c r="E357" s="3">
        <v>8</v>
      </c>
    </row>
    <row r="358" spans="1:5" x14ac:dyDescent="0.2">
      <c r="A358" t="s">
        <v>6</v>
      </c>
      <c r="B358">
        <v>54.838709677419352</v>
      </c>
      <c r="C358">
        <v>1</v>
      </c>
      <c r="D358" s="3">
        <v>2</v>
      </c>
      <c r="E358" s="3">
        <v>8</v>
      </c>
    </row>
    <row r="359" spans="1:5" x14ac:dyDescent="0.2">
      <c r="A359" t="s">
        <v>6</v>
      </c>
      <c r="B359">
        <v>79.310344827586206</v>
      </c>
      <c r="C359">
        <v>1</v>
      </c>
      <c r="D359" s="3">
        <v>2</v>
      </c>
      <c r="E359" s="3">
        <v>8</v>
      </c>
    </row>
    <row r="360" spans="1:5" x14ac:dyDescent="0.2">
      <c r="A360" t="s">
        <v>6</v>
      </c>
      <c r="B360">
        <v>100</v>
      </c>
      <c r="C360">
        <v>1</v>
      </c>
      <c r="D360" s="3">
        <v>2</v>
      </c>
      <c r="E360" s="3">
        <v>8</v>
      </c>
    </row>
    <row r="361" spans="1:5" x14ac:dyDescent="0.2">
      <c r="A361" t="s">
        <v>6</v>
      </c>
      <c r="B361">
        <v>95</v>
      </c>
      <c r="C361">
        <v>0</v>
      </c>
      <c r="D361" s="3">
        <v>2</v>
      </c>
      <c r="E361" s="3">
        <v>8</v>
      </c>
    </row>
    <row r="362" spans="1:5" x14ac:dyDescent="0.2">
      <c r="A362" t="s">
        <v>6</v>
      </c>
      <c r="B362">
        <v>100</v>
      </c>
      <c r="C362">
        <v>1</v>
      </c>
      <c r="D362" s="3">
        <v>2</v>
      </c>
      <c r="E362" s="3">
        <v>8</v>
      </c>
    </row>
    <row r="363" spans="1:5" x14ac:dyDescent="0.2">
      <c r="A363" t="s">
        <v>6</v>
      </c>
      <c r="B363">
        <v>98.666666666666671</v>
      </c>
      <c r="C363">
        <v>0</v>
      </c>
      <c r="D363" s="3">
        <v>2</v>
      </c>
      <c r="E363" s="3">
        <v>8</v>
      </c>
    </row>
    <row r="364" spans="1:5" x14ac:dyDescent="0.2">
      <c r="A364" t="s">
        <v>6</v>
      </c>
      <c r="B364">
        <v>77.777777777777786</v>
      </c>
      <c r="C364">
        <v>1</v>
      </c>
      <c r="D364" s="3">
        <v>2</v>
      </c>
      <c r="E364" s="3">
        <v>8</v>
      </c>
    </row>
    <row r="365" spans="1:5" x14ac:dyDescent="0.2">
      <c r="A365" t="s">
        <v>6</v>
      </c>
      <c r="B365">
        <v>97.183098591549296</v>
      </c>
      <c r="C365">
        <v>1</v>
      </c>
      <c r="D365" s="3">
        <v>2</v>
      </c>
      <c r="E365" s="3">
        <v>8</v>
      </c>
    </row>
    <row r="366" spans="1:5" x14ac:dyDescent="0.2">
      <c r="A366" t="s">
        <v>6</v>
      </c>
      <c r="B366">
        <v>98.290598290598282</v>
      </c>
      <c r="C366">
        <v>1</v>
      </c>
      <c r="D366" s="3">
        <v>2</v>
      </c>
      <c r="E366" s="3">
        <v>8</v>
      </c>
    </row>
    <row r="367" spans="1:5" x14ac:dyDescent="0.2">
      <c r="A367" t="s">
        <v>6</v>
      </c>
      <c r="B367">
        <v>95.555555555555557</v>
      </c>
      <c r="C367">
        <v>1</v>
      </c>
      <c r="D367" s="3">
        <v>2</v>
      </c>
      <c r="E367" s="3">
        <v>8</v>
      </c>
    </row>
    <row r="368" spans="1:5" x14ac:dyDescent="0.2">
      <c r="A368" t="s">
        <v>6</v>
      </c>
      <c r="B368">
        <v>92.941176470588232</v>
      </c>
      <c r="C368">
        <v>1</v>
      </c>
      <c r="D368" s="3">
        <v>2</v>
      </c>
      <c r="E368" s="3">
        <v>8</v>
      </c>
    </row>
    <row r="369" spans="1:5" x14ac:dyDescent="0.2">
      <c r="A369" t="s">
        <v>6</v>
      </c>
      <c r="B369">
        <v>100</v>
      </c>
      <c r="C369">
        <v>1</v>
      </c>
      <c r="D369" s="3">
        <v>2</v>
      </c>
      <c r="E369" s="3">
        <v>8</v>
      </c>
    </row>
    <row r="370" spans="1:5" x14ac:dyDescent="0.2">
      <c r="A370" t="s">
        <v>6</v>
      </c>
      <c r="B370">
        <v>81.372549019607845</v>
      </c>
      <c r="C370">
        <v>1</v>
      </c>
      <c r="D370" s="3">
        <v>2</v>
      </c>
      <c r="E370" s="3">
        <v>8</v>
      </c>
    </row>
    <row r="371" spans="1:5" x14ac:dyDescent="0.2">
      <c r="A371" t="s">
        <v>6</v>
      </c>
      <c r="B371">
        <v>100</v>
      </c>
      <c r="C371">
        <v>1</v>
      </c>
      <c r="D371" s="3">
        <v>2</v>
      </c>
      <c r="E371" s="3">
        <v>8</v>
      </c>
    </row>
    <row r="372" spans="1:5" x14ac:dyDescent="0.2">
      <c r="A372" t="s">
        <v>6</v>
      </c>
      <c r="B372">
        <v>71.223021582733821</v>
      </c>
      <c r="C372">
        <v>1</v>
      </c>
      <c r="D372" s="3">
        <v>2</v>
      </c>
      <c r="E372" s="3">
        <v>8</v>
      </c>
    </row>
    <row r="373" spans="1:5" x14ac:dyDescent="0.2">
      <c r="A373" t="s">
        <v>6</v>
      </c>
      <c r="B373">
        <v>92.452830188679243</v>
      </c>
      <c r="C373">
        <v>1</v>
      </c>
      <c r="D373" s="3">
        <v>2</v>
      </c>
      <c r="E373" s="3">
        <v>8</v>
      </c>
    </row>
    <row r="374" spans="1:5" x14ac:dyDescent="0.2">
      <c r="A374" t="s">
        <v>6</v>
      </c>
      <c r="B374">
        <v>100</v>
      </c>
      <c r="C374">
        <v>1</v>
      </c>
      <c r="D374" s="3">
        <v>2</v>
      </c>
      <c r="E374" s="3">
        <v>8</v>
      </c>
    </row>
    <row r="375" spans="1:5" x14ac:dyDescent="0.2">
      <c r="A375" t="s">
        <v>6</v>
      </c>
      <c r="B375">
        <v>96.835443037974684</v>
      </c>
      <c r="C375">
        <v>1</v>
      </c>
      <c r="D375" s="3">
        <v>2</v>
      </c>
      <c r="E375" s="3">
        <v>8</v>
      </c>
    </row>
    <row r="376" spans="1:5" x14ac:dyDescent="0.2">
      <c r="A376" t="s">
        <v>6</v>
      </c>
      <c r="B376">
        <v>99.029126213592235</v>
      </c>
      <c r="C376">
        <v>1</v>
      </c>
      <c r="D376" s="3">
        <v>2</v>
      </c>
      <c r="E376" s="3">
        <v>8</v>
      </c>
    </row>
    <row r="377" spans="1:5" x14ac:dyDescent="0.2">
      <c r="A377" t="s">
        <v>6</v>
      </c>
      <c r="B377">
        <v>100</v>
      </c>
      <c r="C377">
        <v>1</v>
      </c>
      <c r="D377" s="3">
        <v>2</v>
      </c>
      <c r="E377" s="3">
        <v>8</v>
      </c>
    </row>
    <row r="378" spans="1:5" x14ac:dyDescent="0.2">
      <c r="A378" t="s">
        <v>19</v>
      </c>
      <c r="B378">
        <v>78.833333333333329</v>
      </c>
      <c r="C378">
        <v>0</v>
      </c>
      <c r="D378" s="3">
        <v>2</v>
      </c>
      <c r="E378" s="3">
        <v>8</v>
      </c>
    </row>
    <row r="379" spans="1:5" x14ac:dyDescent="0.2">
      <c r="A379" t="s">
        <v>19</v>
      </c>
      <c r="B379">
        <v>100</v>
      </c>
      <c r="C379">
        <v>1</v>
      </c>
      <c r="D379" s="3">
        <v>2</v>
      </c>
      <c r="E379" s="3">
        <v>8</v>
      </c>
    </row>
    <row r="380" spans="1:5" x14ac:dyDescent="0.2">
      <c r="A380" t="s">
        <v>19</v>
      </c>
      <c r="B380">
        <v>92.039800995024876</v>
      </c>
      <c r="C380">
        <v>1</v>
      </c>
      <c r="D380" s="3">
        <v>2</v>
      </c>
      <c r="E380" s="3">
        <v>8</v>
      </c>
    </row>
    <row r="381" spans="1:5" x14ac:dyDescent="0.2">
      <c r="A381" t="s">
        <v>19</v>
      </c>
      <c r="B381">
        <v>84.684684684684683</v>
      </c>
      <c r="C381">
        <v>1</v>
      </c>
      <c r="D381" s="3">
        <v>2</v>
      </c>
      <c r="E381" s="3">
        <v>8</v>
      </c>
    </row>
    <row r="382" spans="1:5" x14ac:dyDescent="0.2">
      <c r="A382" t="s">
        <v>19</v>
      </c>
      <c r="B382">
        <v>100</v>
      </c>
      <c r="C382">
        <v>1</v>
      </c>
      <c r="D382" s="3">
        <v>2</v>
      </c>
      <c r="E382" s="3">
        <v>8</v>
      </c>
    </row>
    <row r="383" spans="1:5" x14ac:dyDescent="0.2">
      <c r="A383" t="s">
        <v>19</v>
      </c>
      <c r="B383">
        <v>96.407185628742525</v>
      </c>
      <c r="C383">
        <v>1</v>
      </c>
      <c r="D383" s="3">
        <v>2</v>
      </c>
      <c r="E383" s="3">
        <v>8</v>
      </c>
    </row>
    <row r="384" spans="1:5" x14ac:dyDescent="0.2">
      <c r="A384" t="s">
        <v>19</v>
      </c>
      <c r="B384">
        <v>85.897435897435898</v>
      </c>
      <c r="C384">
        <v>1</v>
      </c>
      <c r="D384" s="3">
        <v>2</v>
      </c>
      <c r="E384" s="3">
        <v>8</v>
      </c>
    </row>
    <row r="385" spans="1:5" x14ac:dyDescent="0.2">
      <c r="A385" t="s">
        <v>19</v>
      </c>
      <c r="B385">
        <v>88.888888888888886</v>
      </c>
      <c r="C385">
        <v>1</v>
      </c>
      <c r="D385" s="3">
        <v>2</v>
      </c>
      <c r="E385" s="3">
        <v>8</v>
      </c>
    </row>
    <row r="386" spans="1:5" x14ac:dyDescent="0.2">
      <c r="A386" t="s">
        <v>19</v>
      </c>
      <c r="B386">
        <v>100</v>
      </c>
      <c r="C386">
        <v>1</v>
      </c>
      <c r="D386" s="3">
        <v>2</v>
      </c>
      <c r="E386" s="3">
        <v>8</v>
      </c>
    </row>
    <row r="387" spans="1:5" x14ac:dyDescent="0.2">
      <c r="A387" t="s">
        <v>19</v>
      </c>
      <c r="B387">
        <v>100</v>
      </c>
      <c r="C387">
        <v>1</v>
      </c>
      <c r="D387" s="3">
        <v>2</v>
      </c>
      <c r="E387" s="3">
        <v>8</v>
      </c>
    </row>
    <row r="388" spans="1:5" x14ac:dyDescent="0.2">
      <c r="A388" t="s">
        <v>19</v>
      </c>
      <c r="B388">
        <v>94.897959183673478</v>
      </c>
      <c r="C388">
        <v>1</v>
      </c>
      <c r="D388" s="3">
        <v>2</v>
      </c>
      <c r="E388" s="3">
        <v>8</v>
      </c>
    </row>
    <row r="389" spans="1:5" x14ac:dyDescent="0.2">
      <c r="A389" t="s">
        <v>19</v>
      </c>
      <c r="B389">
        <v>93.666666666666671</v>
      </c>
      <c r="C389">
        <v>1</v>
      </c>
      <c r="D389" s="3">
        <v>2</v>
      </c>
      <c r="E389" s="3">
        <v>8</v>
      </c>
    </row>
    <row r="390" spans="1:5" x14ac:dyDescent="0.2">
      <c r="A390" t="s">
        <v>19</v>
      </c>
      <c r="B390">
        <v>97.368421052631575</v>
      </c>
      <c r="C390">
        <v>1</v>
      </c>
      <c r="D390" s="3">
        <v>2</v>
      </c>
      <c r="E390" s="3">
        <v>8</v>
      </c>
    </row>
    <row r="391" spans="1:5" x14ac:dyDescent="0.2">
      <c r="A391" t="s">
        <v>19</v>
      </c>
      <c r="B391">
        <v>100</v>
      </c>
      <c r="C391">
        <v>1</v>
      </c>
      <c r="D391" s="3">
        <v>2</v>
      </c>
      <c r="E391" s="3">
        <v>8</v>
      </c>
    </row>
    <row r="392" spans="1:5" x14ac:dyDescent="0.2">
      <c r="A392" t="s">
        <v>19</v>
      </c>
      <c r="B392">
        <v>99.250936329588015</v>
      </c>
      <c r="C392">
        <v>1</v>
      </c>
      <c r="D392" s="3">
        <v>2</v>
      </c>
      <c r="E392" s="3">
        <v>8</v>
      </c>
    </row>
    <row r="393" spans="1:5" x14ac:dyDescent="0.2">
      <c r="A393" t="s">
        <v>19</v>
      </c>
      <c r="B393">
        <v>89.930555555555557</v>
      </c>
      <c r="C393">
        <v>1</v>
      </c>
      <c r="D393" s="3">
        <v>2</v>
      </c>
      <c r="E393" s="3">
        <v>8</v>
      </c>
    </row>
    <row r="394" spans="1:5" x14ac:dyDescent="0.2">
      <c r="A394" t="s">
        <v>19</v>
      </c>
      <c r="B394">
        <v>100</v>
      </c>
      <c r="C394">
        <v>1</v>
      </c>
      <c r="D394" s="3">
        <v>2</v>
      </c>
      <c r="E394" s="3">
        <v>8</v>
      </c>
    </row>
    <row r="395" spans="1:5" x14ac:dyDescent="0.2">
      <c r="A395" t="s">
        <v>19</v>
      </c>
      <c r="B395">
        <v>95.333333333333343</v>
      </c>
      <c r="C395">
        <v>1</v>
      </c>
      <c r="D395" s="3">
        <v>2</v>
      </c>
      <c r="E395" s="3">
        <v>8</v>
      </c>
    </row>
    <row r="396" spans="1:5" x14ac:dyDescent="0.2">
      <c r="A396" t="s">
        <v>19</v>
      </c>
      <c r="B396">
        <v>92.156862745098039</v>
      </c>
      <c r="C396">
        <v>1</v>
      </c>
      <c r="D396" s="3">
        <v>2</v>
      </c>
      <c r="E396" s="3">
        <v>8</v>
      </c>
    </row>
    <row r="397" spans="1:5" x14ac:dyDescent="0.2">
      <c r="A397" t="s">
        <v>19</v>
      </c>
      <c r="B397">
        <v>93.609022556390968</v>
      </c>
      <c r="C397">
        <v>1</v>
      </c>
      <c r="D397" s="3">
        <v>2</v>
      </c>
      <c r="E397" s="3">
        <v>8</v>
      </c>
    </row>
    <row r="398" spans="1:5" x14ac:dyDescent="0.2">
      <c r="A398" t="s">
        <v>19</v>
      </c>
      <c r="B398">
        <v>90.243902439024396</v>
      </c>
      <c r="C398">
        <v>1</v>
      </c>
      <c r="D398" s="3">
        <v>2</v>
      </c>
      <c r="E398" s="3">
        <v>8</v>
      </c>
    </row>
    <row r="399" spans="1:5" x14ac:dyDescent="0.2">
      <c r="A399" t="s">
        <v>18</v>
      </c>
      <c r="B399">
        <v>96.15384615384616</v>
      </c>
      <c r="C399">
        <v>1</v>
      </c>
      <c r="D399" s="3">
        <v>2</v>
      </c>
      <c r="E399" s="3">
        <v>8</v>
      </c>
    </row>
    <row r="400" spans="1:5" x14ac:dyDescent="0.2">
      <c r="A400" t="s">
        <v>18</v>
      </c>
      <c r="B400">
        <v>96.969696969696969</v>
      </c>
      <c r="C400">
        <v>1</v>
      </c>
      <c r="D400" s="3">
        <v>2</v>
      </c>
      <c r="E400" s="3">
        <v>8</v>
      </c>
    </row>
    <row r="401" spans="1:5" x14ac:dyDescent="0.2">
      <c r="A401" t="s">
        <v>18</v>
      </c>
      <c r="B401">
        <v>91</v>
      </c>
      <c r="C401">
        <v>1</v>
      </c>
      <c r="D401" s="3">
        <v>2</v>
      </c>
      <c r="E401" s="3">
        <v>8</v>
      </c>
    </row>
    <row r="402" spans="1:5" x14ac:dyDescent="0.2">
      <c r="A402" t="s">
        <v>18</v>
      </c>
      <c r="B402">
        <v>100</v>
      </c>
      <c r="C402">
        <v>1</v>
      </c>
      <c r="D402" s="3">
        <v>2</v>
      </c>
      <c r="E402" s="3">
        <v>8</v>
      </c>
    </row>
    <row r="403" spans="1:5" x14ac:dyDescent="0.2">
      <c r="A403" t="s">
        <v>18</v>
      </c>
      <c r="B403">
        <v>88.976377952755897</v>
      </c>
      <c r="C403">
        <v>1</v>
      </c>
      <c r="D403" s="3">
        <v>2</v>
      </c>
      <c r="E403" s="3">
        <v>8</v>
      </c>
    </row>
    <row r="404" spans="1:5" x14ac:dyDescent="0.2">
      <c r="A404" t="s">
        <v>18</v>
      </c>
      <c r="B404">
        <v>42.028985507246375</v>
      </c>
      <c r="C404">
        <v>1</v>
      </c>
      <c r="D404" s="3">
        <v>2</v>
      </c>
      <c r="E404" s="3">
        <v>8</v>
      </c>
    </row>
    <row r="405" spans="1:5" x14ac:dyDescent="0.2">
      <c r="A405" t="s">
        <v>18</v>
      </c>
      <c r="B405">
        <v>100</v>
      </c>
      <c r="C405">
        <v>1</v>
      </c>
      <c r="D405" s="3">
        <v>2</v>
      </c>
      <c r="E405" s="3">
        <v>8</v>
      </c>
    </row>
    <row r="406" spans="1:5" x14ac:dyDescent="0.2">
      <c r="A406" t="s">
        <v>18</v>
      </c>
      <c r="B406">
        <v>82.758620689655174</v>
      </c>
      <c r="C406">
        <v>1</v>
      </c>
      <c r="D406" s="3">
        <v>2</v>
      </c>
      <c r="E406" s="3">
        <v>8</v>
      </c>
    </row>
    <row r="407" spans="1:5" x14ac:dyDescent="0.2">
      <c r="A407" t="s">
        <v>18</v>
      </c>
      <c r="B407">
        <v>100</v>
      </c>
      <c r="C407">
        <v>1</v>
      </c>
      <c r="D407" s="3">
        <v>2</v>
      </c>
      <c r="E407" s="3">
        <v>8</v>
      </c>
    </row>
    <row r="408" spans="1:5" x14ac:dyDescent="0.2">
      <c r="A408" t="s">
        <v>18</v>
      </c>
      <c r="B408">
        <v>95.049504950495049</v>
      </c>
      <c r="C408">
        <v>1</v>
      </c>
      <c r="D408" s="3">
        <v>2</v>
      </c>
      <c r="E408" s="3">
        <v>8</v>
      </c>
    </row>
    <row r="409" spans="1:5" x14ac:dyDescent="0.2">
      <c r="A409" t="s">
        <v>18</v>
      </c>
      <c r="B409">
        <v>87.5</v>
      </c>
      <c r="C409">
        <v>1</v>
      </c>
      <c r="D409" s="3">
        <v>2</v>
      </c>
      <c r="E409" s="3">
        <v>8</v>
      </c>
    </row>
    <row r="410" spans="1:5" x14ac:dyDescent="0.2">
      <c r="A410" t="s">
        <v>18</v>
      </c>
      <c r="B410">
        <v>100</v>
      </c>
      <c r="C410">
        <v>1</v>
      </c>
      <c r="D410" s="3">
        <v>2</v>
      </c>
      <c r="E410" s="3">
        <v>8</v>
      </c>
    </row>
    <row r="411" spans="1:5" x14ac:dyDescent="0.2">
      <c r="A411" t="s">
        <v>18</v>
      </c>
      <c r="B411">
        <v>67.948717948717956</v>
      </c>
      <c r="C411">
        <v>1</v>
      </c>
      <c r="D411" s="3">
        <v>2</v>
      </c>
      <c r="E411" s="3">
        <v>8</v>
      </c>
    </row>
    <row r="412" spans="1:5" x14ac:dyDescent="0.2">
      <c r="A412" t="s">
        <v>18</v>
      </c>
      <c r="B412">
        <v>100</v>
      </c>
      <c r="C412">
        <v>1</v>
      </c>
      <c r="D412" s="3">
        <v>2</v>
      </c>
      <c r="E412" s="3">
        <v>8</v>
      </c>
    </row>
    <row r="413" spans="1:5" x14ac:dyDescent="0.2">
      <c r="A413" t="s">
        <v>18</v>
      </c>
      <c r="B413">
        <v>58.666666666666664</v>
      </c>
      <c r="C413">
        <v>0</v>
      </c>
      <c r="D413" s="3">
        <v>2</v>
      </c>
      <c r="E413" s="3">
        <v>8</v>
      </c>
    </row>
    <row r="414" spans="1:5" x14ac:dyDescent="0.2">
      <c r="A414" t="s">
        <v>18</v>
      </c>
      <c r="B414">
        <v>89.87341772151899</v>
      </c>
      <c r="C414">
        <v>1</v>
      </c>
      <c r="D414" s="3">
        <v>2</v>
      </c>
      <c r="E414" s="3">
        <v>8</v>
      </c>
    </row>
    <row r="415" spans="1:5" x14ac:dyDescent="0.2">
      <c r="A415" t="s">
        <v>18</v>
      </c>
      <c r="B415">
        <v>97.142857142857139</v>
      </c>
      <c r="C415">
        <v>1</v>
      </c>
      <c r="D415" s="3">
        <v>2</v>
      </c>
      <c r="E415" s="3">
        <v>8</v>
      </c>
    </row>
    <row r="416" spans="1:5" x14ac:dyDescent="0.2">
      <c r="A416" t="s">
        <v>18</v>
      </c>
      <c r="B416">
        <v>98.203592814371248</v>
      </c>
      <c r="C416">
        <v>1</v>
      </c>
      <c r="D416" s="3">
        <v>2</v>
      </c>
      <c r="E416" s="3">
        <v>8</v>
      </c>
    </row>
    <row r="417" spans="1:5" x14ac:dyDescent="0.2">
      <c r="A417" t="s">
        <v>18</v>
      </c>
      <c r="B417">
        <v>93.166666666666657</v>
      </c>
      <c r="C417">
        <v>1</v>
      </c>
      <c r="D417" s="3">
        <v>2</v>
      </c>
      <c r="E417" s="3">
        <v>8</v>
      </c>
    </row>
    <row r="418" spans="1:5" x14ac:dyDescent="0.2">
      <c r="A418" t="s">
        <v>18</v>
      </c>
      <c r="B418">
        <v>69.603524229074893</v>
      </c>
      <c r="C418">
        <v>1</v>
      </c>
      <c r="D418" s="3">
        <v>2</v>
      </c>
      <c r="E418" s="3">
        <v>8</v>
      </c>
    </row>
    <row r="419" spans="1:5" x14ac:dyDescent="0.2">
      <c r="A419" t="s">
        <v>18</v>
      </c>
      <c r="B419">
        <v>73.563218390804593</v>
      </c>
      <c r="C419">
        <v>1</v>
      </c>
      <c r="D419" s="3">
        <v>2</v>
      </c>
      <c r="E419" s="3">
        <v>8</v>
      </c>
    </row>
    <row r="420" spans="1:5" x14ac:dyDescent="0.2">
      <c r="A420" t="s">
        <v>18</v>
      </c>
      <c r="B420">
        <v>95.172413793103445</v>
      </c>
      <c r="C420">
        <v>1</v>
      </c>
      <c r="D420" s="3">
        <v>2</v>
      </c>
      <c r="E420" s="3">
        <v>8</v>
      </c>
    </row>
    <row r="421" spans="1:5" x14ac:dyDescent="0.2">
      <c r="A421" t="s">
        <v>6</v>
      </c>
      <c r="B421">
        <v>94.298245614035096</v>
      </c>
      <c r="C421">
        <v>1</v>
      </c>
      <c r="D421" s="3">
        <v>0.5</v>
      </c>
      <c r="E421" s="3">
        <v>3</v>
      </c>
    </row>
    <row r="422" spans="1:5" x14ac:dyDescent="0.2">
      <c r="A422" t="s">
        <v>6</v>
      </c>
      <c r="B422">
        <v>98.122065727699521</v>
      </c>
      <c r="C422">
        <v>1</v>
      </c>
      <c r="D422" s="3">
        <v>0.5</v>
      </c>
      <c r="E422" s="3">
        <v>3</v>
      </c>
    </row>
    <row r="423" spans="1:5" x14ac:dyDescent="0.2">
      <c r="A423" t="s">
        <v>6</v>
      </c>
      <c r="B423">
        <v>90.697674418604649</v>
      </c>
      <c r="C423">
        <v>1</v>
      </c>
      <c r="D423" s="3">
        <v>0.5</v>
      </c>
      <c r="E423" s="3">
        <v>3</v>
      </c>
    </row>
    <row r="424" spans="1:5" x14ac:dyDescent="0.2">
      <c r="A424" t="s">
        <v>6</v>
      </c>
      <c r="B424">
        <v>86.147186147186147</v>
      </c>
      <c r="C424">
        <v>1</v>
      </c>
      <c r="D424" s="3">
        <v>0.5</v>
      </c>
      <c r="E424" s="3">
        <v>3</v>
      </c>
    </row>
    <row r="425" spans="1:5" x14ac:dyDescent="0.2">
      <c r="A425" t="s">
        <v>6</v>
      </c>
      <c r="B425">
        <v>65.306122448979593</v>
      </c>
      <c r="C425">
        <v>1</v>
      </c>
      <c r="D425" s="3">
        <v>0.5</v>
      </c>
      <c r="E425" s="3">
        <v>3</v>
      </c>
    </row>
    <row r="426" spans="1:5" x14ac:dyDescent="0.2">
      <c r="A426" t="s">
        <v>6</v>
      </c>
      <c r="B426">
        <v>85.925925925925924</v>
      </c>
      <c r="C426">
        <v>1</v>
      </c>
      <c r="D426" s="3">
        <v>0.5</v>
      </c>
      <c r="E426" s="3">
        <v>3</v>
      </c>
    </row>
    <row r="427" spans="1:5" x14ac:dyDescent="0.2">
      <c r="A427" t="s">
        <v>6</v>
      </c>
      <c r="B427">
        <v>92.982456140350877</v>
      </c>
      <c r="C427">
        <v>1</v>
      </c>
      <c r="D427" s="3">
        <v>0.5</v>
      </c>
      <c r="E427" s="3">
        <v>3</v>
      </c>
    </row>
    <row r="428" spans="1:5" x14ac:dyDescent="0.2">
      <c r="A428" t="s">
        <v>6</v>
      </c>
      <c r="B428">
        <v>93.103448275862064</v>
      </c>
      <c r="C428">
        <v>1</v>
      </c>
      <c r="D428" s="3">
        <v>0.5</v>
      </c>
      <c r="E428" s="3">
        <v>3</v>
      </c>
    </row>
    <row r="429" spans="1:5" x14ac:dyDescent="0.2">
      <c r="A429" t="s">
        <v>6</v>
      </c>
      <c r="B429">
        <v>95.454545454545453</v>
      </c>
      <c r="C429">
        <v>1</v>
      </c>
      <c r="D429" s="3">
        <v>0.5</v>
      </c>
      <c r="E429" s="3">
        <v>3</v>
      </c>
    </row>
    <row r="430" spans="1:5" x14ac:dyDescent="0.2">
      <c r="A430" t="s">
        <v>6</v>
      </c>
      <c r="B430">
        <v>100</v>
      </c>
      <c r="C430">
        <v>1</v>
      </c>
      <c r="D430" s="3">
        <v>0.5</v>
      </c>
      <c r="E430" s="3">
        <v>3</v>
      </c>
    </row>
    <row r="431" spans="1:5" x14ac:dyDescent="0.2">
      <c r="A431" t="s">
        <v>6</v>
      </c>
      <c r="B431">
        <v>79.197080291970806</v>
      </c>
      <c r="C431">
        <v>1</v>
      </c>
      <c r="D431" s="3">
        <v>0.5</v>
      </c>
      <c r="E431" s="3">
        <v>3</v>
      </c>
    </row>
    <row r="432" spans="1:5" x14ac:dyDescent="0.2">
      <c r="A432" t="s">
        <v>6</v>
      </c>
      <c r="B432">
        <v>80.555555555555557</v>
      </c>
      <c r="C432">
        <v>1</v>
      </c>
      <c r="D432" s="3">
        <v>0.5</v>
      </c>
      <c r="E432" s="3">
        <v>3</v>
      </c>
    </row>
    <row r="433" spans="1:5" x14ac:dyDescent="0.2">
      <c r="A433" t="s">
        <v>6</v>
      </c>
      <c r="B433">
        <v>92.063492063492063</v>
      </c>
      <c r="C433">
        <v>1</v>
      </c>
      <c r="D433" s="3">
        <v>0.5</v>
      </c>
      <c r="E433" s="3">
        <v>3</v>
      </c>
    </row>
    <row r="434" spans="1:5" x14ac:dyDescent="0.2">
      <c r="A434" t="s">
        <v>6</v>
      </c>
      <c r="B434">
        <v>89.0625</v>
      </c>
      <c r="C434">
        <v>1</v>
      </c>
      <c r="D434" s="3">
        <v>0.5</v>
      </c>
      <c r="E434" s="3">
        <v>3</v>
      </c>
    </row>
    <row r="435" spans="1:5" x14ac:dyDescent="0.2">
      <c r="A435" t="s">
        <v>6</v>
      </c>
      <c r="B435">
        <v>100</v>
      </c>
      <c r="C435">
        <v>1</v>
      </c>
      <c r="D435" s="3">
        <v>0.5</v>
      </c>
      <c r="E435" s="3">
        <v>3</v>
      </c>
    </row>
    <row r="436" spans="1:5" x14ac:dyDescent="0.2">
      <c r="A436" t="s">
        <v>6</v>
      </c>
      <c r="B436">
        <v>97.27272727272728</v>
      </c>
      <c r="C436">
        <v>1</v>
      </c>
      <c r="D436" s="3">
        <v>0.5</v>
      </c>
      <c r="E436" s="3">
        <v>3</v>
      </c>
    </row>
    <row r="437" spans="1:5" x14ac:dyDescent="0.2">
      <c r="A437" t="s">
        <v>6</v>
      </c>
      <c r="B437">
        <v>96.694214876033058</v>
      </c>
      <c r="C437">
        <v>1</v>
      </c>
      <c r="D437" s="3">
        <v>0.5</v>
      </c>
      <c r="E437" s="3">
        <v>3</v>
      </c>
    </row>
    <row r="438" spans="1:5" x14ac:dyDescent="0.2">
      <c r="A438" t="s">
        <v>6</v>
      </c>
      <c r="B438">
        <v>74.576271186440678</v>
      </c>
      <c r="C438">
        <v>1</v>
      </c>
      <c r="D438" s="3">
        <v>0.5</v>
      </c>
      <c r="E438" s="3">
        <v>3</v>
      </c>
    </row>
    <row r="439" spans="1:5" x14ac:dyDescent="0.2">
      <c r="A439" t="s">
        <v>6</v>
      </c>
      <c r="B439">
        <v>86.134453781512605</v>
      </c>
      <c r="C439">
        <v>1</v>
      </c>
      <c r="D439" s="3">
        <v>0.5</v>
      </c>
      <c r="E439" s="3">
        <v>3</v>
      </c>
    </row>
    <row r="440" spans="1:5" x14ac:dyDescent="0.2">
      <c r="A440" t="s">
        <v>6</v>
      </c>
      <c r="B440">
        <v>100</v>
      </c>
      <c r="C440">
        <v>1</v>
      </c>
      <c r="D440" s="3">
        <v>0.5</v>
      </c>
      <c r="E440" s="3">
        <v>3</v>
      </c>
    </row>
    <row r="441" spans="1:5" x14ac:dyDescent="0.2">
      <c r="A441" t="s">
        <v>6</v>
      </c>
      <c r="B441">
        <v>95.412844036697251</v>
      </c>
      <c r="C441">
        <v>1</v>
      </c>
      <c r="D441" s="3">
        <v>0.5</v>
      </c>
      <c r="E441" s="3">
        <v>3</v>
      </c>
    </row>
    <row r="442" spans="1:5" x14ac:dyDescent="0.2">
      <c r="A442" t="s">
        <v>6</v>
      </c>
      <c r="B442">
        <v>99.618320610687022</v>
      </c>
      <c r="C442">
        <v>1</v>
      </c>
      <c r="D442" s="3">
        <v>0.5</v>
      </c>
      <c r="E442" s="3">
        <v>3</v>
      </c>
    </row>
    <row r="443" spans="1:5" x14ac:dyDescent="0.2">
      <c r="A443" t="s">
        <v>19</v>
      </c>
      <c r="B443">
        <v>96.575342465753423</v>
      </c>
      <c r="C443">
        <v>1</v>
      </c>
      <c r="D443" s="3">
        <v>0.5</v>
      </c>
      <c r="E443" s="3">
        <v>3</v>
      </c>
    </row>
    <row r="444" spans="1:5" x14ac:dyDescent="0.2">
      <c r="A444" t="s">
        <v>19</v>
      </c>
      <c r="B444">
        <v>94.696969696969703</v>
      </c>
      <c r="C444">
        <v>1</v>
      </c>
      <c r="D444" s="3">
        <v>0.5</v>
      </c>
      <c r="E444" s="3">
        <v>3</v>
      </c>
    </row>
    <row r="445" spans="1:5" x14ac:dyDescent="0.2">
      <c r="A445" t="s">
        <v>19</v>
      </c>
      <c r="B445">
        <v>91.83673469387756</v>
      </c>
      <c r="C445">
        <v>1</v>
      </c>
      <c r="D445" s="3">
        <v>0.5</v>
      </c>
      <c r="E445" s="3">
        <v>3</v>
      </c>
    </row>
    <row r="446" spans="1:5" x14ac:dyDescent="0.2">
      <c r="A446" t="s">
        <v>19</v>
      </c>
      <c r="B446">
        <v>90.8</v>
      </c>
      <c r="C446">
        <v>1</v>
      </c>
      <c r="D446" s="3">
        <v>0.5</v>
      </c>
      <c r="E446" s="3">
        <v>3</v>
      </c>
    </row>
    <row r="447" spans="1:5" x14ac:dyDescent="0.2">
      <c r="A447" t="s">
        <v>19</v>
      </c>
      <c r="B447">
        <v>97.333333333333343</v>
      </c>
      <c r="C447">
        <v>1</v>
      </c>
      <c r="D447" s="3">
        <v>0.5</v>
      </c>
      <c r="E447" s="3">
        <v>3</v>
      </c>
    </row>
    <row r="448" spans="1:5" x14ac:dyDescent="0.2">
      <c r="A448" t="s">
        <v>19</v>
      </c>
      <c r="B448">
        <v>100</v>
      </c>
      <c r="C448">
        <v>1</v>
      </c>
      <c r="D448" s="3">
        <v>0.5</v>
      </c>
      <c r="E448" s="3">
        <v>3</v>
      </c>
    </row>
    <row r="449" spans="1:5" x14ac:dyDescent="0.2">
      <c r="A449" t="s">
        <v>19</v>
      </c>
      <c r="B449">
        <v>84</v>
      </c>
      <c r="C449">
        <v>1</v>
      </c>
      <c r="D449" s="3">
        <v>0.5</v>
      </c>
      <c r="E449" s="3">
        <v>3</v>
      </c>
    </row>
    <row r="450" spans="1:5" x14ac:dyDescent="0.2">
      <c r="A450" t="s">
        <v>19</v>
      </c>
      <c r="B450">
        <v>97.979797979797979</v>
      </c>
      <c r="C450">
        <v>1</v>
      </c>
      <c r="D450" s="3">
        <v>0.5</v>
      </c>
      <c r="E450" s="3">
        <v>3</v>
      </c>
    </row>
    <row r="451" spans="1:5" x14ac:dyDescent="0.2">
      <c r="A451" t="s">
        <v>19</v>
      </c>
      <c r="B451">
        <v>85.18518518518519</v>
      </c>
      <c r="C451">
        <v>1</v>
      </c>
      <c r="D451" s="3">
        <v>0.5</v>
      </c>
      <c r="E451" s="3">
        <v>3</v>
      </c>
    </row>
    <row r="452" spans="1:5" x14ac:dyDescent="0.2">
      <c r="A452" t="s">
        <v>19</v>
      </c>
      <c r="B452">
        <v>97.166666666666671</v>
      </c>
      <c r="C452">
        <v>1</v>
      </c>
      <c r="D452" s="3">
        <v>0.5</v>
      </c>
      <c r="E452" s="3">
        <v>3</v>
      </c>
    </row>
    <row r="453" spans="1:5" x14ac:dyDescent="0.2">
      <c r="A453" t="s">
        <v>19</v>
      </c>
      <c r="B453">
        <v>82.10526315789474</v>
      </c>
      <c r="C453">
        <v>1</v>
      </c>
      <c r="D453" s="3">
        <v>0.5</v>
      </c>
      <c r="E453" s="3">
        <v>3</v>
      </c>
    </row>
    <row r="454" spans="1:5" x14ac:dyDescent="0.2">
      <c r="A454" t="s">
        <v>19</v>
      </c>
      <c r="B454">
        <v>96.428571428571431</v>
      </c>
      <c r="C454">
        <v>1</v>
      </c>
      <c r="D454" s="3">
        <v>0.5</v>
      </c>
      <c r="E454" s="3">
        <v>3</v>
      </c>
    </row>
    <row r="455" spans="1:5" x14ac:dyDescent="0.2">
      <c r="A455" t="s">
        <v>19</v>
      </c>
      <c r="B455">
        <v>84</v>
      </c>
      <c r="C455">
        <v>1</v>
      </c>
      <c r="D455" s="3">
        <v>0.5</v>
      </c>
      <c r="E455" s="3">
        <v>3</v>
      </c>
    </row>
    <row r="456" spans="1:5" x14ac:dyDescent="0.2">
      <c r="A456" t="s">
        <v>19</v>
      </c>
      <c r="B456">
        <v>89.473684210526315</v>
      </c>
      <c r="C456">
        <v>1</v>
      </c>
      <c r="D456" s="3">
        <v>0.5</v>
      </c>
      <c r="E456" s="3">
        <v>3</v>
      </c>
    </row>
    <row r="457" spans="1:5" x14ac:dyDescent="0.2">
      <c r="A457" t="s">
        <v>19</v>
      </c>
      <c r="B457">
        <v>99</v>
      </c>
      <c r="C457">
        <v>1</v>
      </c>
      <c r="D457" s="3">
        <v>0.5</v>
      </c>
      <c r="E457" s="3">
        <v>3</v>
      </c>
    </row>
    <row r="458" spans="1:5" x14ac:dyDescent="0.2">
      <c r="A458" t="s">
        <v>19</v>
      </c>
      <c r="B458">
        <v>84.615384615384613</v>
      </c>
      <c r="C458">
        <v>1</v>
      </c>
      <c r="D458" s="3">
        <v>0.5</v>
      </c>
      <c r="E458" s="3">
        <v>3</v>
      </c>
    </row>
    <row r="459" spans="1:5" x14ac:dyDescent="0.2">
      <c r="A459" t="s">
        <v>19</v>
      </c>
      <c r="B459">
        <v>54.098360655737707</v>
      </c>
      <c r="C459">
        <v>1</v>
      </c>
      <c r="D459" s="3">
        <v>0.5</v>
      </c>
      <c r="E459" s="3">
        <v>3</v>
      </c>
    </row>
    <row r="460" spans="1:5" x14ac:dyDescent="0.2">
      <c r="A460" t="s">
        <v>19</v>
      </c>
      <c r="B460">
        <v>98.35164835164835</v>
      </c>
      <c r="C460">
        <v>1</v>
      </c>
      <c r="D460" s="3">
        <v>0.5</v>
      </c>
      <c r="E460" s="3">
        <v>3</v>
      </c>
    </row>
    <row r="461" spans="1:5" x14ac:dyDescent="0.2">
      <c r="A461" t="s">
        <v>19</v>
      </c>
      <c r="B461">
        <v>83.962264150943398</v>
      </c>
      <c r="C461">
        <v>1</v>
      </c>
      <c r="D461" s="3">
        <v>0.5</v>
      </c>
      <c r="E461" s="3">
        <v>3</v>
      </c>
    </row>
    <row r="462" spans="1:5" x14ac:dyDescent="0.2">
      <c r="A462" t="s">
        <v>19</v>
      </c>
      <c r="B462">
        <v>94.179894179894177</v>
      </c>
      <c r="C462">
        <v>1</v>
      </c>
      <c r="D462" s="3">
        <v>0.5</v>
      </c>
      <c r="E462" s="3">
        <v>3</v>
      </c>
    </row>
    <row r="463" spans="1:5" x14ac:dyDescent="0.2">
      <c r="A463" t="s">
        <v>19</v>
      </c>
      <c r="B463">
        <v>99.595141700404852</v>
      </c>
      <c r="C463">
        <v>1</v>
      </c>
      <c r="D463" s="3">
        <v>0.5</v>
      </c>
      <c r="E463" s="3">
        <v>3</v>
      </c>
    </row>
    <row r="464" spans="1:5" x14ac:dyDescent="0.2">
      <c r="A464" t="s">
        <v>19</v>
      </c>
      <c r="B464">
        <v>100</v>
      </c>
      <c r="C464">
        <v>1</v>
      </c>
      <c r="D464" s="3">
        <v>0.5</v>
      </c>
      <c r="E464" s="3">
        <v>3</v>
      </c>
    </row>
    <row r="465" spans="1:5" x14ac:dyDescent="0.2">
      <c r="A465" t="s">
        <v>18</v>
      </c>
      <c r="B465">
        <v>89.168278529980654</v>
      </c>
      <c r="C465">
        <v>1</v>
      </c>
      <c r="D465" s="3">
        <v>0.5</v>
      </c>
      <c r="E465" s="3">
        <v>3</v>
      </c>
    </row>
    <row r="466" spans="1:5" x14ac:dyDescent="0.2">
      <c r="A466" t="s">
        <v>18</v>
      </c>
      <c r="B466">
        <v>100</v>
      </c>
      <c r="C466">
        <v>1</v>
      </c>
      <c r="D466" s="3">
        <v>0.5</v>
      </c>
      <c r="E466" s="3">
        <v>3</v>
      </c>
    </row>
    <row r="467" spans="1:5" x14ac:dyDescent="0.2">
      <c r="A467" t="s">
        <v>18</v>
      </c>
      <c r="B467">
        <v>93.859649122807014</v>
      </c>
      <c r="C467">
        <v>1</v>
      </c>
      <c r="D467" s="3">
        <v>0.5</v>
      </c>
      <c r="E467" s="3">
        <v>3</v>
      </c>
    </row>
    <row r="468" spans="1:5" x14ac:dyDescent="0.2">
      <c r="A468" t="s">
        <v>18</v>
      </c>
      <c r="B468">
        <v>83.333333333333343</v>
      </c>
      <c r="C468">
        <v>1</v>
      </c>
      <c r="D468" s="3">
        <v>0.5</v>
      </c>
      <c r="E468" s="3">
        <v>3</v>
      </c>
    </row>
    <row r="469" spans="1:5" x14ac:dyDescent="0.2">
      <c r="A469" t="s">
        <v>18</v>
      </c>
      <c r="B469">
        <v>53.424657534246577</v>
      </c>
      <c r="C469">
        <v>1</v>
      </c>
      <c r="D469" s="3">
        <v>0.5</v>
      </c>
      <c r="E469" s="3">
        <v>3</v>
      </c>
    </row>
    <row r="470" spans="1:5" x14ac:dyDescent="0.2">
      <c r="A470" t="s">
        <v>18</v>
      </c>
      <c r="B470">
        <v>88.421052631578945</v>
      </c>
      <c r="C470">
        <v>1</v>
      </c>
      <c r="D470" s="3">
        <v>0.5</v>
      </c>
      <c r="E470" s="3">
        <v>3</v>
      </c>
    </row>
    <row r="471" spans="1:5" x14ac:dyDescent="0.2">
      <c r="A471" t="s">
        <v>18</v>
      </c>
      <c r="B471">
        <v>95.991983967935866</v>
      </c>
      <c r="C471">
        <v>1</v>
      </c>
      <c r="D471" s="3">
        <v>0.5</v>
      </c>
      <c r="E471" s="3">
        <v>3</v>
      </c>
    </row>
    <row r="472" spans="1:5" x14ac:dyDescent="0.2">
      <c r="A472" t="s">
        <v>18</v>
      </c>
      <c r="B472">
        <v>100</v>
      </c>
      <c r="C472">
        <v>1</v>
      </c>
      <c r="D472" s="3">
        <v>0.5</v>
      </c>
      <c r="E472" s="3">
        <v>3</v>
      </c>
    </row>
    <row r="473" spans="1:5" x14ac:dyDescent="0.2">
      <c r="A473" t="s">
        <v>18</v>
      </c>
      <c r="B473">
        <v>91.17647058823529</v>
      </c>
      <c r="C473">
        <v>1</v>
      </c>
      <c r="D473" s="3">
        <v>0.5</v>
      </c>
      <c r="E473" s="3">
        <v>3</v>
      </c>
    </row>
    <row r="474" spans="1:5" x14ac:dyDescent="0.2">
      <c r="A474" t="s">
        <v>18</v>
      </c>
      <c r="B474">
        <v>100</v>
      </c>
      <c r="C474">
        <v>1</v>
      </c>
      <c r="D474" s="3">
        <v>0.5</v>
      </c>
      <c r="E474" s="3">
        <v>3</v>
      </c>
    </row>
    <row r="475" spans="1:5" x14ac:dyDescent="0.2">
      <c r="A475" t="s">
        <v>18</v>
      </c>
      <c r="B475">
        <v>96.216216216216225</v>
      </c>
      <c r="C475">
        <v>1</v>
      </c>
      <c r="D475" s="3">
        <v>0.5</v>
      </c>
      <c r="E475" s="3">
        <v>3</v>
      </c>
    </row>
    <row r="476" spans="1:5" x14ac:dyDescent="0.2">
      <c r="A476" t="s">
        <v>18</v>
      </c>
      <c r="B476">
        <v>100</v>
      </c>
      <c r="C476">
        <v>1</v>
      </c>
      <c r="D476" s="3">
        <v>0.5</v>
      </c>
      <c r="E476" s="3">
        <v>3</v>
      </c>
    </row>
    <row r="477" spans="1:5" x14ac:dyDescent="0.2">
      <c r="A477" t="s">
        <v>18</v>
      </c>
      <c r="B477">
        <v>96.587030716723561</v>
      </c>
      <c r="C477">
        <v>1</v>
      </c>
      <c r="D477" s="3">
        <v>0.5</v>
      </c>
      <c r="E477" s="3">
        <v>3</v>
      </c>
    </row>
    <row r="478" spans="1:5" x14ac:dyDescent="0.2">
      <c r="A478" t="s">
        <v>18</v>
      </c>
      <c r="B478">
        <v>78.260869565217391</v>
      </c>
      <c r="C478">
        <v>1</v>
      </c>
      <c r="D478" s="3">
        <v>0.5</v>
      </c>
      <c r="E478" s="3">
        <v>3</v>
      </c>
    </row>
    <row r="479" spans="1:5" x14ac:dyDescent="0.2">
      <c r="A479" t="s">
        <v>18</v>
      </c>
      <c r="B479">
        <v>91.338582677165363</v>
      </c>
      <c r="C479">
        <v>1</v>
      </c>
      <c r="D479" s="3">
        <v>0.5</v>
      </c>
      <c r="E479" s="3">
        <v>3</v>
      </c>
    </row>
    <row r="480" spans="1:5" x14ac:dyDescent="0.2">
      <c r="A480" t="s">
        <v>18</v>
      </c>
      <c r="B480">
        <v>80.769230769230774</v>
      </c>
      <c r="C480">
        <v>1</v>
      </c>
      <c r="D480" s="3">
        <v>0.5</v>
      </c>
      <c r="E480" s="3">
        <v>3</v>
      </c>
    </row>
    <row r="481" spans="1:5" x14ac:dyDescent="0.2">
      <c r="A481" t="s">
        <v>18</v>
      </c>
      <c r="B481">
        <v>81.538461538461533</v>
      </c>
      <c r="C481">
        <v>1</v>
      </c>
      <c r="D481" s="3">
        <v>0.5</v>
      </c>
      <c r="E481" s="3">
        <v>3</v>
      </c>
    </row>
    <row r="482" spans="1:5" x14ac:dyDescent="0.2">
      <c r="A482" t="s">
        <v>18</v>
      </c>
      <c r="B482">
        <v>98.181818181818187</v>
      </c>
      <c r="C482">
        <v>1</v>
      </c>
      <c r="D482" s="3">
        <v>0.5</v>
      </c>
      <c r="E482" s="3">
        <v>3</v>
      </c>
    </row>
    <row r="483" spans="1:5" x14ac:dyDescent="0.2">
      <c r="A483" t="s">
        <v>18</v>
      </c>
      <c r="B483">
        <v>100</v>
      </c>
      <c r="C483">
        <v>1</v>
      </c>
      <c r="D483" s="3">
        <v>0.5</v>
      </c>
      <c r="E483" s="3">
        <v>3</v>
      </c>
    </row>
    <row r="484" spans="1:5" x14ac:dyDescent="0.2">
      <c r="A484" t="s">
        <v>18</v>
      </c>
      <c r="B484">
        <v>100</v>
      </c>
      <c r="C484">
        <v>1</v>
      </c>
      <c r="D484" s="3">
        <v>0.5</v>
      </c>
      <c r="E484" s="3">
        <v>3</v>
      </c>
    </row>
    <row r="485" spans="1:5" x14ac:dyDescent="0.2">
      <c r="A485" t="s">
        <v>18</v>
      </c>
      <c r="B485">
        <v>90.845070422535215</v>
      </c>
      <c r="C485">
        <v>1</v>
      </c>
      <c r="D485" s="3">
        <v>0.5</v>
      </c>
      <c r="E485" s="3">
        <v>3</v>
      </c>
    </row>
    <row r="486" spans="1:5" x14ac:dyDescent="0.2">
      <c r="A486" t="s">
        <v>6</v>
      </c>
      <c r="B486">
        <v>100</v>
      </c>
      <c r="C486">
        <v>1</v>
      </c>
      <c r="D486" s="3">
        <v>0.5</v>
      </c>
      <c r="E486" s="3">
        <v>5</v>
      </c>
    </row>
    <row r="487" spans="1:5" x14ac:dyDescent="0.2">
      <c r="A487" t="s">
        <v>6</v>
      </c>
      <c r="B487">
        <v>76.610169491525426</v>
      </c>
      <c r="C487">
        <v>1</v>
      </c>
      <c r="D487" s="3">
        <v>0.5</v>
      </c>
      <c r="E487" s="3">
        <v>5</v>
      </c>
    </row>
    <row r="488" spans="1:5" x14ac:dyDescent="0.2">
      <c r="A488" t="s">
        <v>6</v>
      </c>
      <c r="B488">
        <v>90.697674418604649</v>
      </c>
      <c r="C488">
        <v>1</v>
      </c>
      <c r="D488" s="3">
        <v>0.5</v>
      </c>
      <c r="E488" s="3">
        <v>5</v>
      </c>
    </row>
    <row r="489" spans="1:5" x14ac:dyDescent="0.2">
      <c r="A489" t="s">
        <v>6</v>
      </c>
      <c r="B489">
        <v>100</v>
      </c>
      <c r="C489">
        <v>1</v>
      </c>
      <c r="D489" s="3">
        <v>0.5</v>
      </c>
      <c r="E489" s="3">
        <v>5</v>
      </c>
    </row>
    <row r="490" spans="1:5" x14ac:dyDescent="0.2">
      <c r="A490" t="s">
        <v>6</v>
      </c>
      <c r="B490">
        <v>93.975903614457835</v>
      </c>
      <c r="C490">
        <v>1</v>
      </c>
      <c r="D490" s="3">
        <v>0.5</v>
      </c>
      <c r="E490" s="3">
        <v>5</v>
      </c>
    </row>
    <row r="491" spans="1:5" x14ac:dyDescent="0.2">
      <c r="A491" t="s">
        <v>6</v>
      </c>
      <c r="B491">
        <v>69.88636363636364</v>
      </c>
      <c r="C491">
        <v>1</v>
      </c>
      <c r="D491" s="3">
        <v>0.5</v>
      </c>
      <c r="E491" s="3">
        <v>5</v>
      </c>
    </row>
    <row r="492" spans="1:5" x14ac:dyDescent="0.2">
      <c r="A492" t="s">
        <v>6</v>
      </c>
      <c r="B492">
        <v>95.049504950495049</v>
      </c>
      <c r="C492">
        <v>1</v>
      </c>
      <c r="D492" s="3">
        <v>0.5</v>
      </c>
      <c r="E492" s="3">
        <v>5</v>
      </c>
    </row>
    <row r="493" spans="1:5" x14ac:dyDescent="0.2">
      <c r="A493" t="s">
        <v>6</v>
      </c>
      <c r="B493">
        <v>87.662337662337663</v>
      </c>
      <c r="C493">
        <v>1</v>
      </c>
      <c r="D493" s="3">
        <v>0.5</v>
      </c>
      <c r="E493" s="3">
        <v>5</v>
      </c>
    </row>
    <row r="494" spans="1:5" x14ac:dyDescent="0.2">
      <c r="A494" t="s">
        <v>6</v>
      </c>
      <c r="B494">
        <v>83.615819209039543</v>
      </c>
      <c r="C494">
        <v>1</v>
      </c>
      <c r="D494" s="3">
        <v>0.5</v>
      </c>
      <c r="E494" s="3">
        <v>5</v>
      </c>
    </row>
    <row r="495" spans="1:5" x14ac:dyDescent="0.2">
      <c r="A495" t="s">
        <v>6</v>
      </c>
      <c r="B495">
        <v>93.600000000000009</v>
      </c>
      <c r="C495">
        <v>1</v>
      </c>
      <c r="D495" s="3">
        <v>0.5</v>
      </c>
      <c r="E495" s="3">
        <v>5</v>
      </c>
    </row>
    <row r="496" spans="1:5" x14ac:dyDescent="0.2">
      <c r="A496" t="s">
        <v>6</v>
      </c>
      <c r="B496">
        <v>82.539682539682531</v>
      </c>
      <c r="C496">
        <v>1</v>
      </c>
      <c r="D496" s="3">
        <v>0.5</v>
      </c>
      <c r="E496" s="3">
        <v>5</v>
      </c>
    </row>
    <row r="497" spans="1:5" x14ac:dyDescent="0.2">
      <c r="A497" t="s">
        <v>6</v>
      </c>
      <c r="B497">
        <v>49.180327868852459</v>
      </c>
      <c r="C497">
        <v>1</v>
      </c>
      <c r="D497" s="3">
        <v>0.5</v>
      </c>
      <c r="E497" s="3">
        <v>5</v>
      </c>
    </row>
    <row r="498" spans="1:5" x14ac:dyDescent="0.2">
      <c r="A498" t="s">
        <v>6</v>
      </c>
      <c r="B498">
        <v>90.993788819875775</v>
      </c>
      <c r="C498">
        <v>1</v>
      </c>
      <c r="D498" s="3">
        <v>0.5</v>
      </c>
      <c r="E498" s="3">
        <v>5</v>
      </c>
    </row>
    <row r="499" spans="1:5" x14ac:dyDescent="0.2">
      <c r="A499" t="s">
        <v>6</v>
      </c>
      <c r="B499">
        <v>100</v>
      </c>
      <c r="C499">
        <v>1</v>
      </c>
      <c r="D499" s="3">
        <v>0.5</v>
      </c>
      <c r="E499" s="3">
        <v>5</v>
      </c>
    </row>
    <row r="500" spans="1:5" x14ac:dyDescent="0.2">
      <c r="A500" t="s">
        <v>6</v>
      </c>
      <c r="B500">
        <v>95.850622406639005</v>
      </c>
      <c r="C500">
        <v>1</v>
      </c>
      <c r="D500" s="3">
        <v>0.5</v>
      </c>
      <c r="E500" s="3">
        <v>5</v>
      </c>
    </row>
    <row r="501" spans="1:5" x14ac:dyDescent="0.2">
      <c r="A501" t="s">
        <v>6</v>
      </c>
      <c r="B501">
        <v>93.939393939393938</v>
      </c>
      <c r="C501">
        <v>1</v>
      </c>
      <c r="D501" s="3">
        <v>0.5</v>
      </c>
      <c r="E501" s="3">
        <v>5</v>
      </c>
    </row>
    <row r="502" spans="1:5" x14ac:dyDescent="0.2">
      <c r="A502" t="s">
        <v>6</v>
      </c>
      <c r="B502">
        <v>92.424242424242422</v>
      </c>
      <c r="C502">
        <v>1</v>
      </c>
      <c r="D502" s="3">
        <v>0.5</v>
      </c>
      <c r="E502" s="3">
        <v>5</v>
      </c>
    </row>
    <row r="503" spans="1:5" x14ac:dyDescent="0.2">
      <c r="A503" t="s">
        <v>6</v>
      </c>
      <c r="B503">
        <v>95.666666666666671</v>
      </c>
      <c r="C503">
        <v>1</v>
      </c>
      <c r="D503" s="3">
        <v>0.5</v>
      </c>
      <c r="E503" s="3">
        <v>5</v>
      </c>
    </row>
    <row r="504" spans="1:5" x14ac:dyDescent="0.2">
      <c r="A504" t="s">
        <v>6</v>
      </c>
      <c r="B504">
        <v>98.333333333333329</v>
      </c>
      <c r="C504">
        <v>1</v>
      </c>
      <c r="D504" s="3">
        <v>0.5</v>
      </c>
      <c r="E504" s="3">
        <v>5</v>
      </c>
    </row>
    <row r="505" spans="1:5" x14ac:dyDescent="0.2">
      <c r="A505" t="s">
        <v>6</v>
      </c>
      <c r="B505">
        <v>96.728971962616825</v>
      </c>
      <c r="C505">
        <v>1</v>
      </c>
      <c r="D505" s="3">
        <v>0.5</v>
      </c>
      <c r="E505" s="3">
        <v>5</v>
      </c>
    </row>
    <row r="506" spans="1:5" x14ac:dyDescent="0.2">
      <c r="A506" t="s">
        <v>6</v>
      </c>
      <c r="B506">
        <v>100</v>
      </c>
      <c r="C506">
        <v>1</v>
      </c>
      <c r="D506" s="3">
        <v>0.5</v>
      </c>
      <c r="E506" s="3">
        <v>5</v>
      </c>
    </row>
    <row r="507" spans="1:5" x14ac:dyDescent="0.2">
      <c r="A507" t="s">
        <v>6</v>
      </c>
      <c r="B507">
        <v>100</v>
      </c>
      <c r="C507">
        <v>1</v>
      </c>
      <c r="D507" s="3">
        <v>0.5</v>
      </c>
      <c r="E507" s="3">
        <v>5</v>
      </c>
    </row>
    <row r="508" spans="1:5" x14ac:dyDescent="0.2">
      <c r="A508" t="s">
        <v>19</v>
      </c>
      <c r="B508">
        <v>100</v>
      </c>
      <c r="C508">
        <v>1</v>
      </c>
      <c r="D508" s="3">
        <v>0.5</v>
      </c>
      <c r="E508" s="3">
        <v>5</v>
      </c>
    </row>
    <row r="509" spans="1:5" x14ac:dyDescent="0.2">
      <c r="A509" t="s">
        <v>19</v>
      </c>
      <c r="B509">
        <v>79.032258064516128</v>
      </c>
      <c r="C509">
        <v>1</v>
      </c>
      <c r="D509" s="3">
        <v>0.5</v>
      </c>
      <c r="E509" s="3">
        <v>5</v>
      </c>
    </row>
    <row r="510" spans="1:5" x14ac:dyDescent="0.2">
      <c r="A510" t="s">
        <v>19</v>
      </c>
      <c r="B510">
        <v>94.845360824742258</v>
      </c>
      <c r="C510">
        <v>1</v>
      </c>
      <c r="D510" s="3">
        <v>0.5</v>
      </c>
      <c r="E510" s="3">
        <v>5</v>
      </c>
    </row>
    <row r="511" spans="1:5" x14ac:dyDescent="0.2">
      <c r="A511" t="s">
        <v>19</v>
      </c>
      <c r="B511">
        <v>99.166666666666671</v>
      </c>
      <c r="C511">
        <v>1</v>
      </c>
      <c r="D511" s="3">
        <v>0.5</v>
      </c>
      <c r="E511" s="3">
        <v>5</v>
      </c>
    </row>
    <row r="512" spans="1:5" x14ac:dyDescent="0.2">
      <c r="A512" t="s">
        <v>19</v>
      </c>
      <c r="B512">
        <v>85.652173913043484</v>
      </c>
      <c r="C512">
        <v>1</v>
      </c>
      <c r="D512" s="3">
        <v>0.5</v>
      </c>
      <c r="E512" s="3">
        <v>5</v>
      </c>
    </row>
    <row r="513" spans="1:5" x14ac:dyDescent="0.2">
      <c r="A513" t="s">
        <v>19</v>
      </c>
      <c r="B513">
        <v>55.737704918032783</v>
      </c>
      <c r="C513">
        <v>1</v>
      </c>
      <c r="D513" s="3">
        <v>0.5</v>
      </c>
      <c r="E513" s="3">
        <v>5</v>
      </c>
    </row>
    <row r="514" spans="1:5" x14ac:dyDescent="0.2">
      <c r="A514" t="s">
        <v>19</v>
      </c>
      <c r="B514">
        <v>98.35164835164835</v>
      </c>
      <c r="C514">
        <v>1</v>
      </c>
      <c r="D514" s="3">
        <v>0.5</v>
      </c>
      <c r="E514" s="3">
        <v>5</v>
      </c>
    </row>
    <row r="515" spans="1:5" x14ac:dyDescent="0.2">
      <c r="A515" t="s">
        <v>19</v>
      </c>
      <c r="B515">
        <v>92.079207920792086</v>
      </c>
      <c r="C515">
        <v>1</v>
      </c>
      <c r="D515" s="3">
        <v>0.5</v>
      </c>
      <c r="E515" s="3">
        <v>5</v>
      </c>
    </row>
    <row r="516" spans="1:5" x14ac:dyDescent="0.2">
      <c r="A516" t="s">
        <v>19</v>
      </c>
      <c r="B516">
        <v>94.148936170212778</v>
      </c>
      <c r="C516">
        <v>1</v>
      </c>
      <c r="D516" s="3">
        <v>0.5</v>
      </c>
      <c r="E516" s="3">
        <v>5</v>
      </c>
    </row>
    <row r="517" spans="1:5" x14ac:dyDescent="0.2">
      <c r="A517" t="s">
        <v>19</v>
      </c>
      <c r="B517">
        <v>100</v>
      </c>
      <c r="C517">
        <v>1</v>
      </c>
      <c r="D517" s="3">
        <v>0.5</v>
      </c>
      <c r="E517" s="3">
        <v>5</v>
      </c>
    </row>
    <row r="518" spans="1:5" x14ac:dyDescent="0.2">
      <c r="A518" t="s">
        <v>19</v>
      </c>
      <c r="B518">
        <v>100</v>
      </c>
      <c r="C518">
        <v>1</v>
      </c>
      <c r="D518" s="3">
        <v>0.5</v>
      </c>
      <c r="E518" s="3">
        <v>5</v>
      </c>
    </row>
    <row r="519" spans="1:5" x14ac:dyDescent="0.2">
      <c r="A519" t="s">
        <v>19</v>
      </c>
      <c r="B519">
        <v>84.285714285714292</v>
      </c>
      <c r="C519">
        <v>1</v>
      </c>
      <c r="D519" s="3">
        <v>0.5</v>
      </c>
      <c r="E519" s="3">
        <v>5</v>
      </c>
    </row>
    <row r="520" spans="1:5" x14ac:dyDescent="0.2">
      <c r="A520" t="s">
        <v>19</v>
      </c>
      <c r="B520">
        <v>84.210526315789465</v>
      </c>
      <c r="C520">
        <v>1</v>
      </c>
      <c r="D520" s="3">
        <v>0.5</v>
      </c>
      <c r="E520" s="3">
        <v>5</v>
      </c>
    </row>
    <row r="521" spans="1:5" x14ac:dyDescent="0.2">
      <c r="A521" t="s">
        <v>19</v>
      </c>
      <c r="B521">
        <v>100</v>
      </c>
      <c r="C521">
        <v>1</v>
      </c>
      <c r="D521" s="3">
        <v>0.5</v>
      </c>
      <c r="E521" s="3">
        <v>5</v>
      </c>
    </row>
    <row r="522" spans="1:5" x14ac:dyDescent="0.2">
      <c r="A522" t="s">
        <v>19</v>
      </c>
      <c r="B522">
        <v>97.222222222222214</v>
      </c>
      <c r="C522">
        <v>1</v>
      </c>
      <c r="D522" s="3">
        <v>0.5</v>
      </c>
      <c r="E522" s="3">
        <v>5</v>
      </c>
    </row>
    <row r="523" spans="1:5" x14ac:dyDescent="0.2">
      <c r="A523" t="s">
        <v>19</v>
      </c>
      <c r="B523">
        <v>88.888888888888886</v>
      </c>
      <c r="C523">
        <v>1</v>
      </c>
      <c r="D523" s="3">
        <v>0.5</v>
      </c>
      <c r="E523" s="3">
        <v>5</v>
      </c>
    </row>
    <row r="524" spans="1:5" x14ac:dyDescent="0.2">
      <c r="A524" t="s">
        <v>19</v>
      </c>
      <c r="B524">
        <v>96.15384615384616</v>
      </c>
      <c r="C524">
        <v>1</v>
      </c>
      <c r="D524" s="3">
        <v>0.5</v>
      </c>
      <c r="E524" s="3">
        <v>5</v>
      </c>
    </row>
    <row r="525" spans="1:5" x14ac:dyDescent="0.2">
      <c r="A525" t="s">
        <v>19</v>
      </c>
      <c r="B525">
        <v>97.826086956521735</v>
      </c>
      <c r="C525">
        <v>1</v>
      </c>
      <c r="D525" s="3">
        <v>0.5</v>
      </c>
      <c r="E525" s="3">
        <v>5</v>
      </c>
    </row>
    <row r="526" spans="1:5" x14ac:dyDescent="0.2">
      <c r="A526" t="s">
        <v>19</v>
      </c>
      <c r="B526">
        <v>100</v>
      </c>
      <c r="C526">
        <v>1</v>
      </c>
      <c r="D526" s="3">
        <v>0.5</v>
      </c>
      <c r="E526" s="3">
        <v>5</v>
      </c>
    </row>
    <row r="527" spans="1:5" x14ac:dyDescent="0.2">
      <c r="A527" t="s">
        <v>19</v>
      </c>
      <c r="B527">
        <v>65.094339622641513</v>
      </c>
      <c r="C527">
        <v>1</v>
      </c>
      <c r="D527" s="3">
        <v>0.5</v>
      </c>
      <c r="E527" s="3">
        <v>5</v>
      </c>
    </row>
    <row r="528" spans="1:5" x14ac:dyDescent="0.2">
      <c r="A528" t="s">
        <v>19</v>
      </c>
      <c r="B528">
        <v>100</v>
      </c>
      <c r="C528">
        <v>1</v>
      </c>
      <c r="D528" s="3">
        <v>0.5</v>
      </c>
      <c r="E528" s="3">
        <v>5</v>
      </c>
    </row>
    <row r="529" spans="1:5" x14ac:dyDescent="0.2">
      <c r="A529" t="s">
        <v>19</v>
      </c>
      <c r="B529">
        <v>97.124600638977626</v>
      </c>
      <c r="C529">
        <v>1</v>
      </c>
      <c r="D529" s="3">
        <v>0.5</v>
      </c>
      <c r="E529" s="3">
        <v>5</v>
      </c>
    </row>
    <row r="530" spans="1:5" x14ac:dyDescent="0.2">
      <c r="A530" t="s">
        <v>18</v>
      </c>
      <c r="B530">
        <v>100</v>
      </c>
      <c r="C530">
        <v>1</v>
      </c>
      <c r="D530" s="3">
        <v>0.5</v>
      </c>
      <c r="E530" s="3">
        <v>5</v>
      </c>
    </row>
    <row r="531" spans="1:5" x14ac:dyDescent="0.2">
      <c r="A531" t="s">
        <v>18</v>
      </c>
      <c r="B531">
        <v>72.950819672131146</v>
      </c>
      <c r="C531">
        <v>1</v>
      </c>
      <c r="D531" s="3">
        <v>0.5</v>
      </c>
      <c r="E531" s="3">
        <v>5</v>
      </c>
    </row>
    <row r="532" spans="1:5" x14ac:dyDescent="0.2">
      <c r="A532" t="s">
        <v>18</v>
      </c>
      <c r="B532">
        <v>89.65517241379311</v>
      </c>
      <c r="C532">
        <v>1</v>
      </c>
      <c r="D532" s="3">
        <v>0.5</v>
      </c>
      <c r="E532" s="3">
        <v>5</v>
      </c>
    </row>
    <row r="533" spans="1:5" x14ac:dyDescent="0.2">
      <c r="A533" t="s">
        <v>18</v>
      </c>
      <c r="B533">
        <v>94.444444444444443</v>
      </c>
      <c r="C533">
        <v>1</v>
      </c>
      <c r="D533" s="3">
        <v>0.5</v>
      </c>
      <c r="E533" s="3">
        <v>5</v>
      </c>
    </row>
    <row r="534" spans="1:5" x14ac:dyDescent="0.2">
      <c r="A534" t="s">
        <v>18</v>
      </c>
      <c r="B534">
        <v>96.470588235294116</v>
      </c>
      <c r="C534">
        <v>1</v>
      </c>
      <c r="D534" s="3">
        <v>0.5</v>
      </c>
      <c r="E534" s="3">
        <v>5</v>
      </c>
    </row>
    <row r="535" spans="1:5" x14ac:dyDescent="0.2">
      <c r="A535" t="s">
        <v>18</v>
      </c>
      <c r="B535">
        <v>94.871794871794862</v>
      </c>
      <c r="C535">
        <v>1</v>
      </c>
      <c r="D535" s="3">
        <v>0.5</v>
      </c>
      <c r="E535" s="3">
        <v>5</v>
      </c>
    </row>
    <row r="536" spans="1:5" x14ac:dyDescent="0.2">
      <c r="A536" t="s">
        <v>18</v>
      </c>
      <c r="B536">
        <v>91.506849315068493</v>
      </c>
      <c r="C536">
        <v>1</v>
      </c>
      <c r="D536" s="3">
        <v>0.5</v>
      </c>
      <c r="E536" s="3">
        <v>5</v>
      </c>
    </row>
    <row r="537" spans="1:5" x14ac:dyDescent="0.2">
      <c r="A537" t="s">
        <v>18</v>
      </c>
      <c r="B537">
        <v>91</v>
      </c>
      <c r="C537">
        <v>1</v>
      </c>
      <c r="D537" s="3">
        <v>0.5</v>
      </c>
      <c r="E537" s="3">
        <v>5</v>
      </c>
    </row>
    <row r="538" spans="1:5" x14ac:dyDescent="0.2">
      <c r="A538" t="s">
        <v>18</v>
      </c>
      <c r="B538">
        <v>97.5</v>
      </c>
      <c r="C538">
        <v>1</v>
      </c>
      <c r="D538" s="3">
        <v>0.5</v>
      </c>
      <c r="E538" s="3">
        <v>5</v>
      </c>
    </row>
    <row r="539" spans="1:5" x14ac:dyDescent="0.2">
      <c r="A539" t="s">
        <v>18</v>
      </c>
      <c r="B539">
        <v>100</v>
      </c>
      <c r="C539">
        <v>1</v>
      </c>
      <c r="D539" s="3">
        <v>0.5</v>
      </c>
      <c r="E539" s="3">
        <v>5</v>
      </c>
    </row>
    <row r="540" spans="1:5" x14ac:dyDescent="0.2">
      <c r="A540" t="s">
        <v>18</v>
      </c>
      <c r="B540">
        <v>97.833333333333343</v>
      </c>
      <c r="C540">
        <v>1</v>
      </c>
      <c r="D540" s="3">
        <v>0.5</v>
      </c>
      <c r="E540" s="3">
        <v>5</v>
      </c>
    </row>
    <row r="541" spans="1:5" x14ac:dyDescent="0.2">
      <c r="A541" t="s">
        <v>18</v>
      </c>
      <c r="B541">
        <v>93.41317365269461</v>
      </c>
      <c r="C541">
        <v>1</v>
      </c>
      <c r="D541" s="3">
        <v>0.5</v>
      </c>
      <c r="E541" s="3">
        <v>5</v>
      </c>
    </row>
    <row r="542" spans="1:5" x14ac:dyDescent="0.2">
      <c r="A542" t="s">
        <v>18</v>
      </c>
      <c r="B542">
        <v>100</v>
      </c>
      <c r="C542">
        <v>1</v>
      </c>
      <c r="D542" s="3">
        <v>0.5</v>
      </c>
      <c r="E542" s="3">
        <v>5</v>
      </c>
    </row>
    <row r="543" spans="1:5" x14ac:dyDescent="0.2">
      <c r="A543" t="s">
        <v>18</v>
      </c>
      <c r="B543">
        <v>94.805194805194802</v>
      </c>
      <c r="C543">
        <v>1</v>
      </c>
      <c r="D543" s="3">
        <v>0.5</v>
      </c>
      <c r="E543" s="3">
        <v>5</v>
      </c>
    </row>
    <row r="544" spans="1:5" x14ac:dyDescent="0.2">
      <c r="A544" t="s">
        <v>18</v>
      </c>
      <c r="B544">
        <v>93.333333333333329</v>
      </c>
      <c r="C544">
        <v>1</v>
      </c>
      <c r="D544" s="3">
        <v>0.5</v>
      </c>
      <c r="E544" s="3">
        <v>5</v>
      </c>
    </row>
    <row r="545" spans="1:5" x14ac:dyDescent="0.2">
      <c r="A545" t="s">
        <v>18</v>
      </c>
      <c r="B545">
        <v>95.391705069124427</v>
      </c>
      <c r="C545">
        <v>1</v>
      </c>
      <c r="D545" s="3">
        <v>0.5</v>
      </c>
      <c r="E545" s="3">
        <v>5</v>
      </c>
    </row>
    <row r="546" spans="1:5" x14ac:dyDescent="0.2">
      <c r="A546" t="s">
        <v>18</v>
      </c>
      <c r="B546">
        <v>95.666666666666671</v>
      </c>
      <c r="C546">
        <v>1</v>
      </c>
      <c r="D546" s="3">
        <v>0.5</v>
      </c>
      <c r="E546" s="3">
        <v>5</v>
      </c>
    </row>
    <row r="547" spans="1:5" x14ac:dyDescent="0.2">
      <c r="A547" t="s">
        <v>18</v>
      </c>
      <c r="B547">
        <v>100</v>
      </c>
      <c r="C547">
        <v>1</v>
      </c>
      <c r="D547" s="3">
        <v>0.5</v>
      </c>
      <c r="E547" s="3">
        <v>5</v>
      </c>
    </row>
    <row r="548" spans="1:5" x14ac:dyDescent="0.2">
      <c r="A548" t="s">
        <v>18</v>
      </c>
      <c r="B548">
        <v>91.372549019607845</v>
      </c>
      <c r="C548">
        <v>1</v>
      </c>
      <c r="D548" s="3">
        <v>0.5</v>
      </c>
      <c r="E548" s="3">
        <v>5</v>
      </c>
    </row>
    <row r="549" spans="1:5" x14ac:dyDescent="0.2">
      <c r="A549" t="s">
        <v>18</v>
      </c>
      <c r="B549">
        <v>79.411764705882348</v>
      </c>
      <c r="C549">
        <v>1</v>
      </c>
      <c r="D549" s="3">
        <v>0.5</v>
      </c>
      <c r="E549" s="3">
        <v>5</v>
      </c>
    </row>
    <row r="550" spans="1:5" x14ac:dyDescent="0.2">
      <c r="A550" t="s">
        <v>18</v>
      </c>
      <c r="B550">
        <v>91.787439613526573</v>
      </c>
      <c r="C550">
        <v>1</v>
      </c>
      <c r="D550" s="3">
        <v>0.5</v>
      </c>
      <c r="E550" s="3">
        <v>5</v>
      </c>
    </row>
    <row r="551" spans="1:5" x14ac:dyDescent="0.2">
      <c r="A551" t="s">
        <v>18</v>
      </c>
      <c r="B551">
        <v>91.596638655462186</v>
      </c>
      <c r="C551">
        <v>1</v>
      </c>
      <c r="D551" s="3">
        <v>0.5</v>
      </c>
      <c r="E551" s="3">
        <v>5</v>
      </c>
    </row>
    <row r="552" spans="1:5" x14ac:dyDescent="0.2">
      <c r="A552" t="s">
        <v>6</v>
      </c>
      <c r="B552">
        <v>35.333333333333336</v>
      </c>
      <c r="C552">
        <v>1</v>
      </c>
      <c r="D552" s="3">
        <v>0.5</v>
      </c>
      <c r="E552" s="3">
        <v>8</v>
      </c>
    </row>
    <row r="553" spans="1:5" x14ac:dyDescent="0.2">
      <c r="A553" t="s">
        <v>6</v>
      </c>
      <c r="B553">
        <v>58.333333333333336</v>
      </c>
      <c r="C553">
        <v>1</v>
      </c>
      <c r="D553" s="3">
        <v>0.5</v>
      </c>
      <c r="E553" s="3">
        <v>8</v>
      </c>
    </row>
    <row r="554" spans="1:5" x14ac:dyDescent="0.2">
      <c r="A554" t="s">
        <v>6</v>
      </c>
      <c r="B554">
        <v>90.990990990990994</v>
      </c>
      <c r="C554">
        <v>1</v>
      </c>
      <c r="D554" s="3">
        <v>0.5</v>
      </c>
      <c r="E554" s="3">
        <v>8</v>
      </c>
    </row>
    <row r="555" spans="1:5" x14ac:dyDescent="0.2">
      <c r="A555" t="s">
        <v>6</v>
      </c>
      <c r="B555">
        <v>76.833333333333329</v>
      </c>
      <c r="C555">
        <v>1</v>
      </c>
      <c r="D555" s="3">
        <v>0.5</v>
      </c>
      <c r="E555" s="3">
        <v>8</v>
      </c>
    </row>
    <row r="556" spans="1:5" x14ac:dyDescent="0.2">
      <c r="A556" t="s">
        <v>6</v>
      </c>
      <c r="B556">
        <v>75.384615384615387</v>
      </c>
      <c r="C556">
        <v>1</v>
      </c>
      <c r="D556" s="3">
        <v>0.5</v>
      </c>
      <c r="E556" s="3">
        <v>8</v>
      </c>
    </row>
    <row r="557" spans="1:5" x14ac:dyDescent="0.2">
      <c r="A557" t="s">
        <v>6</v>
      </c>
      <c r="B557">
        <v>92.5</v>
      </c>
      <c r="C557">
        <v>1</v>
      </c>
      <c r="D557" s="3">
        <v>0.5</v>
      </c>
      <c r="E557" s="3">
        <v>8</v>
      </c>
    </row>
    <row r="558" spans="1:5" x14ac:dyDescent="0.2">
      <c r="A558" t="s">
        <v>6</v>
      </c>
      <c r="B558">
        <v>80.612244897959187</v>
      </c>
      <c r="C558">
        <v>1</v>
      </c>
      <c r="D558" s="3">
        <v>0.5</v>
      </c>
      <c r="E558" s="3">
        <v>8</v>
      </c>
    </row>
    <row r="559" spans="1:5" x14ac:dyDescent="0.2">
      <c r="A559" t="s">
        <v>6</v>
      </c>
      <c r="B559">
        <v>87.931034482758619</v>
      </c>
      <c r="C559">
        <v>1</v>
      </c>
      <c r="D559" s="3">
        <v>0.5</v>
      </c>
      <c r="E559" s="3">
        <v>8</v>
      </c>
    </row>
    <row r="560" spans="1:5" x14ac:dyDescent="0.2">
      <c r="A560" t="s">
        <v>6</v>
      </c>
      <c r="B560">
        <v>82.170542635658919</v>
      </c>
      <c r="C560">
        <v>1</v>
      </c>
      <c r="D560" s="3">
        <v>0.5</v>
      </c>
      <c r="E560" s="3">
        <v>8</v>
      </c>
    </row>
    <row r="561" spans="1:5" x14ac:dyDescent="0.2">
      <c r="A561" t="s">
        <v>6</v>
      </c>
      <c r="B561">
        <v>91.769547325102891</v>
      </c>
      <c r="C561">
        <v>1</v>
      </c>
      <c r="D561" s="3">
        <v>0.5</v>
      </c>
      <c r="E561" s="3">
        <v>8</v>
      </c>
    </row>
    <row r="562" spans="1:5" x14ac:dyDescent="0.2">
      <c r="A562" t="s">
        <v>6</v>
      </c>
      <c r="B562">
        <v>93</v>
      </c>
      <c r="C562">
        <v>0</v>
      </c>
      <c r="D562" s="3">
        <v>0.5</v>
      </c>
      <c r="E562" s="3">
        <v>8</v>
      </c>
    </row>
    <row r="563" spans="1:5" x14ac:dyDescent="0.2">
      <c r="A563" t="s">
        <v>6</v>
      </c>
      <c r="B563">
        <v>73</v>
      </c>
      <c r="C563">
        <v>1</v>
      </c>
      <c r="D563" s="3">
        <v>0.5</v>
      </c>
      <c r="E563" s="3">
        <v>8</v>
      </c>
    </row>
    <row r="564" spans="1:5" x14ac:dyDescent="0.2">
      <c r="A564" t="s">
        <v>6</v>
      </c>
      <c r="B564">
        <v>81.785714285714278</v>
      </c>
      <c r="C564">
        <v>1</v>
      </c>
      <c r="D564" s="3">
        <v>0.5</v>
      </c>
      <c r="E564" s="3">
        <v>8</v>
      </c>
    </row>
    <row r="565" spans="1:5" x14ac:dyDescent="0.2">
      <c r="A565" t="s">
        <v>6</v>
      </c>
      <c r="B565">
        <v>95.454545454545453</v>
      </c>
      <c r="C565">
        <v>1</v>
      </c>
      <c r="D565" s="3">
        <v>0.5</v>
      </c>
      <c r="E565" s="3">
        <v>8</v>
      </c>
    </row>
    <row r="566" spans="1:5" x14ac:dyDescent="0.2">
      <c r="A566" t="s">
        <v>6</v>
      </c>
      <c r="B566">
        <v>94.932432432432435</v>
      </c>
      <c r="C566">
        <v>1</v>
      </c>
      <c r="D566" s="3">
        <v>0.5</v>
      </c>
      <c r="E566" s="3">
        <v>8</v>
      </c>
    </row>
    <row r="567" spans="1:5" x14ac:dyDescent="0.2">
      <c r="A567" t="s">
        <v>6</v>
      </c>
      <c r="B567">
        <v>94.474153297682705</v>
      </c>
      <c r="C567">
        <v>1</v>
      </c>
      <c r="D567" s="3">
        <v>0.5</v>
      </c>
      <c r="E567" s="3">
        <v>8</v>
      </c>
    </row>
    <row r="568" spans="1:5" x14ac:dyDescent="0.2">
      <c r="A568" t="s">
        <v>6</v>
      </c>
      <c r="B568">
        <v>89.166666666666671</v>
      </c>
      <c r="C568">
        <v>1</v>
      </c>
      <c r="D568" s="3">
        <v>0.5</v>
      </c>
      <c r="E568" s="3">
        <v>8</v>
      </c>
    </row>
    <row r="569" spans="1:5" x14ac:dyDescent="0.2">
      <c r="A569" t="s">
        <v>6</v>
      </c>
      <c r="B569">
        <v>93.162393162393158</v>
      </c>
      <c r="C569">
        <v>1</v>
      </c>
      <c r="D569" s="3">
        <v>0.5</v>
      </c>
      <c r="E569" s="3">
        <v>8</v>
      </c>
    </row>
    <row r="570" spans="1:5" x14ac:dyDescent="0.2">
      <c r="A570" t="s">
        <v>6</v>
      </c>
      <c r="B570">
        <v>75.155279503105589</v>
      </c>
      <c r="C570">
        <v>1</v>
      </c>
      <c r="D570" s="3">
        <v>0.5</v>
      </c>
      <c r="E570" s="3">
        <v>8</v>
      </c>
    </row>
    <row r="571" spans="1:5" x14ac:dyDescent="0.2">
      <c r="A571" t="s">
        <v>6</v>
      </c>
      <c r="B571">
        <v>71.287128712871279</v>
      </c>
      <c r="C571">
        <v>1</v>
      </c>
      <c r="D571" s="3">
        <v>0.5</v>
      </c>
      <c r="E571" s="3">
        <v>8</v>
      </c>
    </row>
    <row r="572" spans="1:5" x14ac:dyDescent="0.2">
      <c r="A572" t="s">
        <v>6</v>
      </c>
      <c r="B572">
        <v>86.330935251798564</v>
      </c>
      <c r="C572">
        <v>1</v>
      </c>
      <c r="D572" s="3">
        <v>0.5</v>
      </c>
      <c r="E572" s="3">
        <v>8</v>
      </c>
    </row>
    <row r="573" spans="1:5" x14ac:dyDescent="0.2">
      <c r="A573" t="s">
        <v>6</v>
      </c>
      <c r="B573">
        <v>100</v>
      </c>
      <c r="C573">
        <v>1</v>
      </c>
      <c r="D573" s="3">
        <v>0.5</v>
      </c>
      <c r="E573" s="3">
        <v>8</v>
      </c>
    </row>
    <row r="574" spans="1:5" x14ac:dyDescent="0.2">
      <c r="A574" t="s">
        <v>19</v>
      </c>
      <c r="B574">
        <v>72.727272727272734</v>
      </c>
      <c r="C574">
        <v>1</v>
      </c>
      <c r="D574" s="3">
        <v>0.5</v>
      </c>
      <c r="E574" s="3">
        <v>8</v>
      </c>
    </row>
    <row r="575" spans="1:5" x14ac:dyDescent="0.2">
      <c r="A575" t="s">
        <v>19</v>
      </c>
      <c r="B575">
        <v>98.01136363636364</v>
      </c>
      <c r="C575">
        <v>1</v>
      </c>
      <c r="D575" s="3">
        <v>0.5</v>
      </c>
      <c r="E575" s="3">
        <v>8</v>
      </c>
    </row>
    <row r="576" spans="1:5" x14ac:dyDescent="0.2">
      <c r="A576" t="s">
        <v>19</v>
      </c>
      <c r="B576">
        <v>76.530612244897952</v>
      </c>
      <c r="C576">
        <v>1</v>
      </c>
      <c r="D576" s="3">
        <v>0.5</v>
      </c>
      <c r="E576" s="3">
        <v>8</v>
      </c>
    </row>
    <row r="577" spans="1:5" x14ac:dyDescent="0.2">
      <c r="A577" t="s">
        <v>19</v>
      </c>
      <c r="B577">
        <v>90.666666666666657</v>
      </c>
      <c r="C577">
        <v>1</v>
      </c>
      <c r="D577" s="3">
        <v>0.5</v>
      </c>
      <c r="E577" s="3">
        <v>8</v>
      </c>
    </row>
    <row r="578" spans="1:5" x14ac:dyDescent="0.2">
      <c r="A578" t="s">
        <v>19</v>
      </c>
      <c r="B578">
        <v>89.88095238095238</v>
      </c>
      <c r="C578">
        <v>1</v>
      </c>
      <c r="D578" s="3">
        <v>0.5</v>
      </c>
      <c r="E578" s="3">
        <v>8</v>
      </c>
    </row>
    <row r="579" spans="1:5" x14ac:dyDescent="0.2">
      <c r="A579" t="s">
        <v>19</v>
      </c>
      <c r="B579">
        <v>79.5</v>
      </c>
      <c r="C579">
        <v>1</v>
      </c>
      <c r="D579" s="3">
        <v>0.5</v>
      </c>
      <c r="E579" s="3">
        <v>8</v>
      </c>
    </row>
    <row r="580" spans="1:5" x14ac:dyDescent="0.2">
      <c r="A580" t="s">
        <v>19</v>
      </c>
      <c r="B580">
        <v>88.515901060070661</v>
      </c>
      <c r="C580">
        <v>1</v>
      </c>
      <c r="D580" s="3">
        <v>0.5</v>
      </c>
      <c r="E580" s="3">
        <v>8</v>
      </c>
    </row>
    <row r="581" spans="1:5" x14ac:dyDescent="0.2">
      <c r="A581" t="s">
        <v>19</v>
      </c>
      <c r="B581">
        <v>61.077844311377248</v>
      </c>
      <c r="C581">
        <v>1</v>
      </c>
      <c r="D581" s="3">
        <v>0.5</v>
      </c>
      <c r="E581" s="3">
        <v>8</v>
      </c>
    </row>
    <row r="582" spans="1:5" x14ac:dyDescent="0.2">
      <c r="A582" t="s">
        <v>19</v>
      </c>
      <c r="B582">
        <v>88.338192419825063</v>
      </c>
      <c r="C582">
        <v>1</v>
      </c>
      <c r="D582" s="3">
        <v>0.5</v>
      </c>
      <c r="E582" s="3">
        <v>8</v>
      </c>
    </row>
    <row r="583" spans="1:5" x14ac:dyDescent="0.2">
      <c r="A583" t="s">
        <v>19</v>
      </c>
      <c r="B583">
        <v>90.873015873015873</v>
      </c>
      <c r="C583">
        <v>1</v>
      </c>
      <c r="D583" s="3">
        <v>0.5</v>
      </c>
      <c r="E583" s="3">
        <v>8</v>
      </c>
    </row>
    <row r="584" spans="1:5" x14ac:dyDescent="0.2">
      <c r="A584" t="s">
        <v>19</v>
      </c>
      <c r="B584">
        <v>94.835680751173712</v>
      </c>
      <c r="C584">
        <v>1</v>
      </c>
      <c r="D584" s="3">
        <v>0.5</v>
      </c>
      <c r="E584" s="3">
        <v>8</v>
      </c>
    </row>
    <row r="585" spans="1:5" x14ac:dyDescent="0.2">
      <c r="A585" t="s">
        <v>19</v>
      </c>
      <c r="B585">
        <v>67.415730337078656</v>
      </c>
      <c r="C585">
        <v>1</v>
      </c>
      <c r="D585" s="3">
        <v>0.5</v>
      </c>
      <c r="E585" s="3">
        <v>8</v>
      </c>
    </row>
    <row r="586" spans="1:5" x14ac:dyDescent="0.2">
      <c r="A586" t="s">
        <v>19</v>
      </c>
      <c r="B586">
        <v>98.4375</v>
      </c>
      <c r="C586">
        <v>1</v>
      </c>
      <c r="D586" s="3">
        <v>0.5</v>
      </c>
      <c r="E586" s="3">
        <v>8</v>
      </c>
    </row>
    <row r="587" spans="1:5" x14ac:dyDescent="0.2">
      <c r="A587" t="s">
        <v>19</v>
      </c>
      <c r="B587">
        <v>98.076923076923066</v>
      </c>
      <c r="C587">
        <v>1</v>
      </c>
      <c r="D587" s="3">
        <v>0.5</v>
      </c>
      <c r="E587" s="3">
        <v>8</v>
      </c>
    </row>
    <row r="588" spans="1:5" x14ac:dyDescent="0.2">
      <c r="A588" t="s">
        <v>19</v>
      </c>
      <c r="B588">
        <v>90.733590733590731</v>
      </c>
      <c r="C588">
        <v>1</v>
      </c>
      <c r="D588" s="3">
        <v>0.5</v>
      </c>
      <c r="E588" s="3">
        <v>8</v>
      </c>
    </row>
    <row r="589" spans="1:5" x14ac:dyDescent="0.2">
      <c r="A589" t="s">
        <v>19</v>
      </c>
      <c r="B589">
        <v>93.805309734513273</v>
      </c>
      <c r="C589">
        <v>1</v>
      </c>
      <c r="D589" s="3">
        <v>0.5</v>
      </c>
      <c r="E589" s="3">
        <v>8</v>
      </c>
    </row>
    <row r="590" spans="1:5" x14ac:dyDescent="0.2">
      <c r="A590" t="s">
        <v>19</v>
      </c>
      <c r="B590">
        <v>51.666666666666671</v>
      </c>
      <c r="C590">
        <v>1</v>
      </c>
      <c r="D590" s="3">
        <v>0.5</v>
      </c>
      <c r="E590" s="3">
        <v>8</v>
      </c>
    </row>
    <row r="591" spans="1:5" x14ac:dyDescent="0.2">
      <c r="A591" t="s">
        <v>19</v>
      </c>
      <c r="B591">
        <v>94.147582697201017</v>
      </c>
      <c r="C591">
        <v>1</v>
      </c>
      <c r="D591" s="3">
        <v>0.5</v>
      </c>
      <c r="E591" s="3">
        <v>8</v>
      </c>
    </row>
    <row r="592" spans="1:5" x14ac:dyDescent="0.2">
      <c r="A592" t="s">
        <v>19</v>
      </c>
      <c r="B592">
        <v>81</v>
      </c>
      <c r="C592">
        <v>1</v>
      </c>
      <c r="D592" s="3">
        <v>0.5</v>
      </c>
      <c r="E592" s="3">
        <v>8</v>
      </c>
    </row>
    <row r="593" spans="1:5" x14ac:dyDescent="0.2">
      <c r="A593" t="s">
        <v>19</v>
      </c>
      <c r="B593">
        <v>89.666666666666657</v>
      </c>
      <c r="C593">
        <v>1</v>
      </c>
      <c r="D593" s="3">
        <v>0.5</v>
      </c>
      <c r="E593" s="3">
        <v>8</v>
      </c>
    </row>
    <row r="594" spans="1:5" x14ac:dyDescent="0.2">
      <c r="A594" t="s">
        <v>19</v>
      </c>
      <c r="B594">
        <v>86.509635974304061</v>
      </c>
      <c r="C594">
        <v>1</v>
      </c>
      <c r="D594" s="3">
        <v>0.5</v>
      </c>
      <c r="E594" s="3">
        <v>8</v>
      </c>
    </row>
    <row r="595" spans="1:5" x14ac:dyDescent="0.2">
      <c r="A595" t="s">
        <v>19</v>
      </c>
      <c r="B595">
        <v>94.132653061224488</v>
      </c>
      <c r="C595">
        <v>1</v>
      </c>
      <c r="D595" s="3">
        <v>0.5</v>
      </c>
      <c r="E595" s="3">
        <v>8</v>
      </c>
    </row>
    <row r="596" spans="1:5" x14ac:dyDescent="0.2">
      <c r="A596" t="s">
        <v>18</v>
      </c>
      <c r="B596">
        <v>85.542168674698786</v>
      </c>
      <c r="C596">
        <v>1</v>
      </c>
      <c r="D596" s="3">
        <v>0.5</v>
      </c>
      <c r="E596" s="3">
        <v>8</v>
      </c>
    </row>
    <row r="597" spans="1:5" x14ac:dyDescent="0.2">
      <c r="A597" t="s">
        <v>18</v>
      </c>
      <c r="B597">
        <v>69.512195121951208</v>
      </c>
      <c r="C597">
        <v>1</v>
      </c>
      <c r="D597" s="3">
        <v>0.5</v>
      </c>
      <c r="E597" s="3">
        <v>8</v>
      </c>
    </row>
    <row r="598" spans="1:5" x14ac:dyDescent="0.2">
      <c r="A598" t="s">
        <v>18</v>
      </c>
      <c r="B598">
        <v>89.038785834738619</v>
      </c>
      <c r="C598">
        <v>1</v>
      </c>
      <c r="D598" s="3">
        <v>0.5</v>
      </c>
      <c r="E598" s="3">
        <v>8</v>
      </c>
    </row>
    <row r="599" spans="1:5" x14ac:dyDescent="0.2">
      <c r="A599" t="s">
        <v>18</v>
      </c>
      <c r="B599">
        <v>78.215223097112869</v>
      </c>
      <c r="C599">
        <v>1</v>
      </c>
      <c r="D599" s="3">
        <v>0.5</v>
      </c>
      <c r="E599" s="3">
        <v>8</v>
      </c>
    </row>
    <row r="600" spans="1:5" x14ac:dyDescent="0.2">
      <c r="A600" t="s">
        <v>18</v>
      </c>
      <c r="B600">
        <v>95.918367346938766</v>
      </c>
      <c r="C600">
        <v>1</v>
      </c>
      <c r="D600" s="3">
        <v>0.5</v>
      </c>
      <c r="E600" s="3">
        <v>8</v>
      </c>
    </row>
    <row r="601" spans="1:5" x14ac:dyDescent="0.2">
      <c r="A601" t="s">
        <v>18</v>
      </c>
      <c r="B601">
        <v>97.833333333333343</v>
      </c>
      <c r="C601">
        <v>1</v>
      </c>
      <c r="D601" s="3">
        <v>0.5</v>
      </c>
      <c r="E601" s="3">
        <v>8</v>
      </c>
    </row>
    <row r="602" spans="1:5" x14ac:dyDescent="0.2">
      <c r="A602" t="s">
        <v>18</v>
      </c>
      <c r="B602">
        <v>100</v>
      </c>
      <c r="C602">
        <v>1</v>
      </c>
      <c r="D602" s="3">
        <v>0.5</v>
      </c>
      <c r="E602" s="3">
        <v>8</v>
      </c>
    </row>
    <row r="603" spans="1:5" x14ac:dyDescent="0.2">
      <c r="A603" t="s">
        <v>18</v>
      </c>
      <c r="B603">
        <v>85.820895522388057</v>
      </c>
      <c r="C603">
        <v>1</v>
      </c>
      <c r="D603" s="3">
        <v>0.5</v>
      </c>
      <c r="E603" s="3">
        <v>8</v>
      </c>
    </row>
    <row r="604" spans="1:5" x14ac:dyDescent="0.2">
      <c r="A604" t="s">
        <v>18</v>
      </c>
      <c r="B604">
        <v>96.103896103896105</v>
      </c>
      <c r="C604">
        <v>1</v>
      </c>
      <c r="D604" s="3">
        <v>0.5</v>
      </c>
      <c r="E604" s="3">
        <v>8</v>
      </c>
    </row>
    <row r="605" spans="1:5" x14ac:dyDescent="0.2">
      <c r="A605" t="s">
        <v>18</v>
      </c>
      <c r="B605">
        <v>93.979933110367895</v>
      </c>
      <c r="C605">
        <v>1</v>
      </c>
      <c r="D605" s="3">
        <v>0.5</v>
      </c>
      <c r="E605" s="3">
        <v>8</v>
      </c>
    </row>
    <row r="606" spans="1:5" x14ac:dyDescent="0.2">
      <c r="A606" t="s">
        <v>18</v>
      </c>
      <c r="B606">
        <v>96.774193548387103</v>
      </c>
      <c r="C606">
        <v>1</v>
      </c>
      <c r="D606" s="3">
        <v>0.5</v>
      </c>
      <c r="E606" s="3">
        <v>8</v>
      </c>
    </row>
    <row r="607" spans="1:5" x14ac:dyDescent="0.2">
      <c r="A607" t="s">
        <v>18</v>
      </c>
      <c r="B607">
        <v>91.555555555555557</v>
      </c>
      <c r="C607">
        <v>1</v>
      </c>
      <c r="D607" s="3">
        <v>0.5</v>
      </c>
      <c r="E607" s="3">
        <v>8</v>
      </c>
    </row>
    <row r="608" spans="1:5" x14ac:dyDescent="0.2">
      <c r="A608" t="s">
        <v>18</v>
      </c>
      <c r="B608">
        <v>73.860182370820667</v>
      </c>
      <c r="C608">
        <v>1</v>
      </c>
      <c r="D608" s="3">
        <v>0.5</v>
      </c>
      <c r="E608" s="3">
        <v>8</v>
      </c>
    </row>
    <row r="609" spans="1:5" x14ac:dyDescent="0.2">
      <c r="A609" t="s">
        <v>18</v>
      </c>
      <c r="B609">
        <v>94.505494505494497</v>
      </c>
      <c r="C609">
        <v>1</v>
      </c>
      <c r="D609" s="3">
        <v>0.5</v>
      </c>
      <c r="E609" s="3">
        <v>8</v>
      </c>
    </row>
    <row r="610" spans="1:5" x14ac:dyDescent="0.2">
      <c r="A610" t="s">
        <v>18</v>
      </c>
      <c r="B610">
        <v>83.687943262411352</v>
      </c>
      <c r="C610">
        <v>1</v>
      </c>
      <c r="D610" s="3">
        <v>0.5</v>
      </c>
      <c r="E610" s="3">
        <v>8</v>
      </c>
    </row>
    <row r="611" spans="1:5" x14ac:dyDescent="0.2">
      <c r="A611" t="s">
        <v>18</v>
      </c>
      <c r="B611">
        <v>90.769230769230774</v>
      </c>
      <c r="C611">
        <v>1</v>
      </c>
      <c r="D611" s="3">
        <v>0.5</v>
      </c>
      <c r="E611" s="3">
        <v>8</v>
      </c>
    </row>
    <row r="612" spans="1:5" x14ac:dyDescent="0.2">
      <c r="A612" t="s">
        <v>18</v>
      </c>
      <c r="B612">
        <v>86.70886075949366</v>
      </c>
      <c r="C612">
        <v>1</v>
      </c>
      <c r="D612" s="3">
        <v>0.5</v>
      </c>
      <c r="E612" s="3">
        <v>8</v>
      </c>
    </row>
    <row r="613" spans="1:5" x14ac:dyDescent="0.2">
      <c r="A613" t="s">
        <v>18</v>
      </c>
      <c r="B613">
        <v>85.660377358490564</v>
      </c>
      <c r="C613">
        <v>1</v>
      </c>
      <c r="D613" s="3">
        <v>0.5</v>
      </c>
      <c r="E613" s="3">
        <v>8</v>
      </c>
    </row>
    <row r="614" spans="1:5" x14ac:dyDescent="0.2">
      <c r="A614" t="s">
        <v>18</v>
      </c>
      <c r="B614">
        <v>96.309963099630991</v>
      </c>
      <c r="C614">
        <v>1</v>
      </c>
      <c r="D614" s="3">
        <v>0.5</v>
      </c>
      <c r="E614" s="3">
        <v>8</v>
      </c>
    </row>
    <row r="615" spans="1:5" x14ac:dyDescent="0.2">
      <c r="A615" t="s">
        <v>18</v>
      </c>
      <c r="B615">
        <v>62.130177514792898</v>
      </c>
      <c r="C615">
        <v>1</v>
      </c>
      <c r="D615" s="3">
        <v>0.5</v>
      </c>
      <c r="E615" s="3">
        <v>8</v>
      </c>
    </row>
    <row r="616" spans="1:5" x14ac:dyDescent="0.2">
      <c r="A616" t="s">
        <v>18</v>
      </c>
      <c r="B616">
        <v>70.442477876106196</v>
      </c>
      <c r="C616">
        <v>1</v>
      </c>
      <c r="D616" s="3">
        <v>0.5</v>
      </c>
      <c r="E616" s="3">
        <v>8</v>
      </c>
    </row>
    <row r="617" spans="1:5" x14ac:dyDescent="0.2">
      <c r="A617" t="s">
        <v>18</v>
      </c>
      <c r="B617">
        <v>98.019801980198025</v>
      </c>
      <c r="C617">
        <v>1</v>
      </c>
      <c r="D617" s="3">
        <v>0.5</v>
      </c>
      <c r="E617" s="3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23590-C14D-E442-988B-4444EF2CCC20}">
  <dimension ref="A1:AE65"/>
  <sheetViews>
    <sheetView workbookViewId="0">
      <selection activeCell="B4" sqref="B4"/>
    </sheetView>
  </sheetViews>
  <sheetFormatPr baseColWidth="10" defaultRowHeight="16" x14ac:dyDescent="0.2"/>
  <cols>
    <col min="8" max="8" width="23.83203125" customWidth="1"/>
    <col min="29" max="29" width="16.83203125" customWidth="1"/>
  </cols>
  <sheetData>
    <row r="1" spans="1:31" x14ac:dyDescent="0.2">
      <c r="B1" t="s">
        <v>0</v>
      </c>
      <c r="C1" t="s">
        <v>1</v>
      </c>
      <c r="I1" t="s">
        <v>17</v>
      </c>
      <c r="J1" t="s">
        <v>13</v>
      </c>
      <c r="K1" t="s">
        <v>60</v>
      </c>
      <c r="M1" t="s">
        <v>17</v>
      </c>
      <c r="N1" t="s">
        <v>13</v>
      </c>
      <c r="O1" t="s">
        <v>60</v>
      </c>
      <c r="Q1" t="s">
        <v>17</v>
      </c>
      <c r="R1" t="s">
        <v>13</v>
      </c>
      <c r="S1" t="s">
        <v>60</v>
      </c>
      <c r="U1" t="s">
        <v>17</v>
      </c>
      <c r="V1" t="s">
        <v>13</v>
      </c>
      <c r="W1" t="s">
        <v>60</v>
      </c>
      <c r="Y1" t="s">
        <v>17</v>
      </c>
      <c r="Z1" t="s">
        <v>13</v>
      </c>
      <c r="AA1" t="s">
        <v>60</v>
      </c>
      <c r="AC1" t="s">
        <v>17</v>
      </c>
      <c r="AD1" t="s">
        <v>13</v>
      </c>
      <c r="AE1" t="s">
        <v>15</v>
      </c>
    </row>
    <row r="2" spans="1:31" x14ac:dyDescent="0.2">
      <c r="A2" s="1" t="s">
        <v>2</v>
      </c>
      <c r="B2" s="1" t="s">
        <v>69</v>
      </c>
      <c r="C2" s="1" t="s">
        <v>4</v>
      </c>
      <c r="I2" t="s">
        <v>18</v>
      </c>
      <c r="J2">
        <v>99</v>
      </c>
      <c r="K2">
        <v>1</v>
      </c>
      <c r="M2" t="s">
        <v>21</v>
      </c>
      <c r="N2">
        <v>98.6</v>
      </c>
      <c r="O2">
        <v>1</v>
      </c>
      <c r="Q2" t="s">
        <v>22</v>
      </c>
      <c r="R2">
        <v>96.2</v>
      </c>
      <c r="S2">
        <v>1</v>
      </c>
      <c r="U2" t="s">
        <v>68</v>
      </c>
      <c r="V2">
        <v>98.2</v>
      </c>
      <c r="W2">
        <v>1</v>
      </c>
      <c r="Y2" t="s">
        <v>24</v>
      </c>
      <c r="Z2">
        <v>99.5</v>
      </c>
      <c r="AA2">
        <v>1</v>
      </c>
      <c r="AC2" t="s">
        <v>29</v>
      </c>
      <c r="AD2">
        <v>99.3</v>
      </c>
      <c r="AE2">
        <v>1</v>
      </c>
    </row>
    <row r="3" spans="1:31" x14ac:dyDescent="0.2">
      <c r="A3" t="s">
        <v>5</v>
      </c>
      <c r="B3" t="s">
        <v>69</v>
      </c>
      <c r="C3" t="s">
        <v>6</v>
      </c>
      <c r="I3" t="s">
        <v>18</v>
      </c>
      <c r="J3">
        <v>100</v>
      </c>
      <c r="K3">
        <v>1</v>
      </c>
      <c r="M3" t="s">
        <v>21</v>
      </c>
      <c r="N3">
        <v>100</v>
      </c>
      <c r="O3">
        <v>1</v>
      </c>
      <c r="Q3" t="s">
        <v>22</v>
      </c>
      <c r="R3">
        <v>98.9</v>
      </c>
      <c r="S3">
        <v>1</v>
      </c>
      <c r="U3" t="s">
        <v>68</v>
      </c>
      <c r="V3">
        <v>95.7</v>
      </c>
      <c r="W3">
        <v>1</v>
      </c>
      <c r="Y3" t="s">
        <v>24</v>
      </c>
      <c r="Z3">
        <v>99.7</v>
      </c>
      <c r="AA3">
        <v>1</v>
      </c>
      <c r="AC3" t="s">
        <v>29</v>
      </c>
      <c r="AD3">
        <v>98</v>
      </c>
      <c r="AE3">
        <v>1</v>
      </c>
    </row>
    <row r="4" spans="1:31" x14ac:dyDescent="0.2">
      <c r="I4" t="s">
        <v>18</v>
      </c>
      <c r="J4">
        <v>97.1</v>
      </c>
      <c r="K4">
        <v>1</v>
      </c>
      <c r="M4" t="s">
        <v>21</v>
      </c>
      <c r="N4">
        <v>91.600000000000009</v>
      </c>
      <c r="O4">
        <v>1</v>
      </c>
      <c r="Q4" t="s">
        <v>22</v>
      </c>
      <c r="R4">
        <v>97.6</v>
      </c>
      <c r="S4">
        <v>1</v>
      </c>
      <c r="U4" t="s">
        <v>68</v>
      </c>
      <c r="V4">
        <v>99</v>
      </c>
      <c r="W4">
        <v>0</v>
      </c>
      <c r="Y4" t="s">
        <v>24</v>
      </c>
      <c r="Z4">
        <v>96</v>
      </c>
      <c r="AA4">
        <v>1</v>
      </c>
      <c r="AC4" t="s">
        <v>29</v>
      </c>
      <c r="AD4">
        <v>98.9</v>
      </c>
      <c r="AE4">
        <v>1</v>
      </c>
    </row>
    <row r="5" spans="1:31" x14ac:dyDescent="0.2">
      <c r="A5" t="s">
        <v>7</v>
      </c>
      <c r="B5" s="4" t="s">
        <v>8</v>
      </c>
      <c r="C5" s="4"/>
      <c r="D5" s="4"/>
      <c r="E5" s="4"/>
      <c r="F5" s="4"/>
      <c r="G5" s="4"/>
      <c r="H5" s="4"/>
      <c r="I5" t="s">
        <v>18</v>
      </c>
      <c r="J5">
        <v>97.3</v>
      </c>
      <c r="K5">
        <v>1</v>
      </c>
      <c r="M5" t="s">
        <v>21</v>
      </c>
      <c r="N5">
        <v>93.7</v>
      </c>
      <c r="O5">
        <v>1</v>
      </c>
      <c r="Q5" t="s">
        <v>22</v>
      </c>
      <c r="R5">
        <v>99.5</v>
      </c>
      <c r="S5">
        <v>1</v>
      </c>
      <c r="U5" t="s">
        <v>68</v>
      </c>
      <c r="V5">
        <v>62.5</v>
      </c>
      <c r="W5">
        <v>0</v>
      </c>
      <c r="Y5" t="s">
        <v>24</v>
      </c>
      <c r="Z5">
        <v>89.5</v>
      </c>
      <c r="AA5">
        <v>1</v>
      </c>
      <c r="AC5" t="s">
        <v>29</v>
      </c>
      <c r="AD5">
        <v>100</v>
      </c>
      <c r="AE5">
        <v>1</v>
      </c>
    </row>
    <row r="6" spans="1:31" x14ac:dyDescent="0.2">
      <c r="I6" t="s">
        <v>18</v>
      </c>
      <c r="J6">
        <v>98</v>
      </c>
      <c r="K6">
        <v>0</v>
      </c>
      <c r="M6" t="s">
        <v>21</v>
      </c>
      <c r="N6">
        <v>81.699999999999989</v>
      </c>
      <c r="O6">
        <v>1</v>
      </c>
      <c r="Q6" t="s">
        <v>22</v>
      </c>
      <c r="R6">
        <v>86.8</v>
      </c>
      <c r="S6">
        <v>1</v>
      </c>
      <c r="U6" t="s">
        <v>68</v>
      </c>
      <c r="V6">
        <v>93.899999999999991</v>
      </c>
      <c r="W6">
        <v>1</v>
      </c>
      <c r="Y6" t="s">
        <v>24</v>
      </c>
      <c r="Z6">
        <v>98</v>
      </c>
      <c r="AA6">
        <v>0</v>
      </c>
      <c r="AC6" t="s">
        <v>29</v>
      </c>
      <c r="AD6">
        <v>99.5</v>
      </c>
      <c r="AE6">
        <v>1</v>
      </c>
    </row>
    <row r="7" spans="1:31" x14ac:dyDescent="0.2">
      <c r="A7" t="s">
        <v>9</v>
      </c>
      <c r="B7" t="s">
        <v>10</v>
      </c>
      <c r="I7" t="s">
        <v>18</v>
      </c>
      <c r="J7">
        <v>93</v>
      </c>
      <c r="K7">
        <v>1</v>
      </c>
      <c r="M7" t="s">
        <v>21</v>
      </c>
      <c r="N7">
        <v>96</v>
      </c>
      <c r="O7">
        <v>1</v>
      </c>
      <c r="Q7" t="s">
        <v>22</v>
      </c>
      <c r="R7">
        <v>99</v>
      </c>
      <c r="S7">
        <v>1</v>
      </c>
      <c r="U7" t="s">
        <v>68</v>
      </c>
      <c r="V7">
        <v>99.5</v>
      </c>
      <c r="W7">
        <v>1</v>
      </c>
      <c r="Y7" t="s">
        <v>24</v>
      </c>
      <c r="Z7">
        <v>96.8</v>
      </c>
      <c r="AA7">
        <v>1</v>
      </c>
      <c r="AC7" t="s">
        <v>29</v>
      </c>
      <c r="AD7">
        <v>99</v>
      </c>
      <c r="AE7">
        <v>1</v>
      </c>
    </row>
    <row r="8" spans="1:31" x14ac:dyDescent="0.2">
      <c r="A8" t="s">
        <v>11</v>
      </c>
      <c r="B8" t="s">
        <v>12</v>
      </c>
      <c r="I8" t="s">
        <v>18</v>
      </c>
      <c r="J8">
        <v>99.6</v>
      </c>
      <c r="K8">
        <v>1</v>
      </c>
      <c r="M8" t="s">
        <v>21</v>
      </c>
      <c r="N8">
        <v>89</v>
      </c>
      <c r="O8">
        <v>0</v>
      </c>
      <c r="Q8" t="s">
        <v>22</v>
      </c>
      <c r="R8">
        <v>100</v>
      </c>
      <c r="S8">
        <v>1</v>
      </c>
      <c r="U8" t="s">
        <v>68</v>
      </c>
      <c r="V8">
        <v>100</v>
      </c>
      <c r="W8">
        <v>1</v>
      </c>
      <c r="Y8" t="s">
        <v>24</v>
      </c>
      <c r="Z8">
        <v>100</v>
      </c>
      <c r="AA8">
        <v>1</v>
      </c>
      <c r="AC8" t="s">
        <v>29</v>
      </c>
      <c r="AD8">
        <v>96.899999999999991</v>
      </c>
      <c r="AE8">
        <v>1</v>
      </c>
    </row>
    <row r="9" spans="1:31" x14ac:dyDescent="0.2">
      <c r="I9" t="s">
        <v>18</v>
      </c>
      <c r="J9">
        <v>100</v>
      </c>
      <c r="K9">
        <v>1</v>
      </c>
      <c r="M9" t="s">
        <v>21</v>
      </c>
      <c r="N9">
        <v>100</v>
      </c>
      <c r="O9">
        <v>1</v>
      </c>
      <c r="Q9" t="s">
        <v>22</v>
      </c>
      <c r="R9">
        <v>95.6</v>
      </c>
      <c r="S9">
        <v>1</v>
      </c>
      <c r="U9" t="s">
        <v>68</v>
      </c>
      <c r="V9">
        <v>99.1</v>
      </c>
      <c r="W9">
        <v>1</v>
      </c>
      <c r="Y9" t="s">
        <v>24</v>
      </c>
      <c r="Z9">
        <v>97</v>
      </c>
      <c r="AA9">
        <v>1</v>
      </c>
      <c r="AC9" t="s">
        <v>29</v>
      </c>
      <c r="AD9">
        <v>100</v>
      </c>
      <c r="AE9">
        <v>1</v>
      </c>
    </row>
    <row r="10" spans="1:31" x14ac:dyDescent="0.2">
      <c r="I10" t="s">
        <v>18</v>
      </c>
      <c r="J10">
        <v>100</v>
      </c>
      <c r="K10">
        <v>1</v>
      </c>
      <c r="M10" t="s">
        <v>21</v>
      </c>
      <c r="N10">
        <v>96.6</v>
      </c>
      <c r="O10">
        <v>1</v>
      </c>
      <c r="Q10" t="s">
        <v>22</v>
      </c>
      <c r="R10">
        <v>100</v>
      </c>
      <c r="S10">
        <v>1</v>
      </c>
      <c r="U10" t="s">
        <v>68</v>
      </c>
      <c r="V10">
        <v>98.8</v>
      </c>
      <c r="W10">
        <v>1</v>
      </c>
      <c r="Y10" t="s">
        <v>24</v>
      </c>
      <c r="Z10">
        <v>99.4</v>
      </c>
      <c r="AA10">
        <v>1</v>
      </c>
      <c r="AC10" t="s">
        <v>29</v>
      </c>
      <c r="AD10">
        <v>95.399999999999991</v>
      </c>
      <c r="AE10">
        <v>1</v>
      </c>
    </row>
    <row r="11" spans="1:31" x14ac:dyDescent="0.2">
      <c r="A11" t="s">
        <v>26</v>
      </c>
      <c r="I11" t="s">
        <v>18</v>
      </c>
      <c r="J11">
        <v>99.5</v>
      </c>
      <c r="K11">
        <v>1</v>
      </c>
      <c r="M11" t="s">
        <v>21</v>
      </c>
      <c r="N11">
        <v>100</v>
      </c>
      <c r="O11">
        <v>1</v>
      </c>
      <c r="Q11" t="s">
        <v>22</v>
      </c>
      <c r="R11">
        <v>99.4</v>
      </c>
      <c r="S11">
        <v>1</v>
      </c>
      <c r="U11" t="s">
        <v>68</v>
      </c>
      <c r="V11">
        <v>90.5</v>
      </c>
      <c r="W11">
        <v>1</v>
      </c>
      <c r="Y11" t="s">
        <v>24</v>
      </c>
      <c r="Z11">
        <v>100</v>
      </c>
      <c r="AA11">
        <v>1</v>
      </c>
      <c r="AC11" t="s">
        <v>29</v>
      </c>
      <c r="AD11">
        <v>98.3</v>
      </c>
      <c r="AE11">
        <v>1</v>
      </c>
    </row>
    <row r="12" spans="1:31" x14ac:dyDescent="0.2">
      <c r="I12" t="s">
        <v>18</v>
      </c>
      <c r="J12">
        <v>94.899999999999991</v>
      </c>
      <c r="K12">
        <v>1</v>
      </c>
      <c r="M12" t="s">
        <v>21</v>
      </c>
      <c r="N12">
        <v>99.6</v>
      </c>
      <c r="O12">
        <v>1</v>
      </c>
      <c r="Q12" t="s">
        <v>22</v>
      </c>
      <c r="R12">
        <v>100</v>
      </c>
      <c r="S12">
        <v>1</v>
      </c>
      <c r="U12" t="s">
        <v>68</v>
      </c>
      <c r="V12">
        <v>99</v>
      </c>
      <c r="W12">
        <v>1</v>
      </c>
      <c r="Y12" t="s">
        <v>24</v>
      </c>
      <c r="Z12">
        <v>100</v>
      </c>
      <c r="AA12">
        <v>1</v>
      </c>
      <c r="AC12" t="s">
        <v>29</v>
      </c>
      <c r="AD12">
        <v>97.3</v>
      </c>
      <c r="AE12">
        <v>0</v>
      </c>
    </row>
    <row r="13" spans="1:31" x14ac:dyDescent="0.2">
      <c r="A13" t="s">
        <v>13</v>
      </c>
      <c r="B13" t="s">
        <v>14</v>
      </c>
      <c r="I13" t="s">
        <v>18</v>
      </c>
      <c r="J13">
        <v>92</v>
      </c>
      <c r="K13">
        <v>1</v>
      </c>
      <c r="M13" t="s">
        <v>21</v>
      </c>
      <c r="N13">
        <v>99.6</v>
      </c>
      <c r="O13">
        <v>1</v>
      </c>
      <c r="Q13" t="s">
        <v>22</v>
      </c>
      <c r="R13">
        <v>99.7</v>
      </c>
      <c r="S13">
        <v>1</v>
      </c>
      <c r="U13" t="s">
        <v>68</v>
      </c>
      <c r="V13">
        <v>97.8</v>
      </c>
      <c r="W13">
        <v>1</v>
      </c>
      <c r="Y13" t="s">
        <v>24</v>
      </c>
      <c r="Z13">
        <v>98.8</v>
      </c>
      <c r="AA13">
        <v>1</v>
      </c>
      <c r="AC13" t="s">
        <v>29</v>
      </c>
      <c r="AD13">
        <v>99.6</v>
      </c>
      <c r="AE13">
        <v>1</v>
      </c>
    </row>
    <row r="14" spans="1:31" x14ac:dyDescent="0.2">
      <c r="I14" t="s">
        <v>18</v>
      </c>
      <c r="J14">
        <v>98.7</v>
      </c>
      <c r="K14">
        <v>1</v>
      </c>
      <c r="M14" t="s">
        <v>21</v>
      </c>
      <c r="N14">
        <v>98.2</v>
      </c>
      <c r="O14">
        <v>1</v>
      </c>
      <c r="Q14" t="s">
        <v>22</v>
      </c>
      <c r="R14">
        <v>99.7</v>
      </c>
      <c r="S14">
        <v>1</v>
      </c>
      <c r="U14" t="s">
        <v>68</v>
      </c>
      <c r="V14">
        <v>100</v>
      </c>
      <c r="W14">
        <v>1</v>
      </c>
      <c r="Y14" t="s">
        <v>24</v>
      </c>
      <c r="Z14">
        <v>100</v>
      </c>
      <c r="AA14">
        <v>1</v>
      </c>
      <c r="AC14" t="s">
        <v>29</v>
      </c>
      <c r="AD14">
        <v>97.3</v>
      </c>
      <c r="AE14">
        <v>1</v>
      </c>
    </row>
    <row r="15" spans="1:31" x14ac:dyDescent="0.2">
      <c r="I15" t="s">
        <v>18</v>
      </c>
      <c r="J15">
        <v>100</v>
      </c>
      <c r="K15">
        <v>1</v>
      </c>
      <c r="M15" t="s">
        <v>21</v>
      </c>
      <c r="N15">
        <v>100</v>
      </c>
      <c r="O15">
        <v>1</v>
      </c>
      <c r="Q15" t="s">
        <v>22</v>
      </c>
      <c r="R15">
        <v>99.5</v>
      </c>
      <c r="S15">
        <v>1</v>
      </c>
      <c r="U15" t="s">
        <v>68</v>
      </c>
      <c r="V15">
        <v>100</v>
      </c>
      <c r="W15">
        <v>1</v>
      </c>
      <c r="Y15" t="s">
        <v>24</v>
      </c>
      <c r="Z15">
        <v>98.6</v>
      </c>
      <c r="AA15">
        <v>1</v>
      </c>
      <c r="AC15" t="s">
        <v>29</v>
      </c>
      <c r="AD15">
        <v>97.8</v>
      </c>
      <c r="AE15">
        <v>1</v>
      </c>
    </row>
    <row r="16" spans="1:31" x14ac:dyDescent="0.2">
      <c r="I16" t="s">
        <v>18</v>
      </c>
      <c r="J16">
        <v>93.8</v>
      </c>
      <c r="K16">
        <v>1</v>
      </c>
      <c r="M16" t="s">
        <v>21</v>
      </c>
      <c r="N16">
        <v>96.6</v>
      </c>
      <c r="O16">
        <v>1</v>
      </c>
      <c r="Q16" t="s">
        <v>22</v>
      </c>
      <c r="R16">
        <v>79.800000000000011</v>
      </c>
      <c r="S16">
        <v>1</v>
      </c>
      <c r="U16" t="s">
        <v>68</v>
      </c>
      <c r="V16">
        <v>97.399999999999991</v>
      </c>
      <c r="W16">
        <v>1</v>
      </c>
      <c r="Y16" t="s">
        <v>24</v>
      </c>
      <c r="Z16">
        <v>99.5</v>
      </c>
      <c r="AA16">
        <v>1</v>
      </c>
      <c r="AC16" t="s">
        <v>29</v>
      </c>
      <c r="AD16">
        <v>98.2</v>
      </c>
      <c r="AE16">
        <v>1</v>
      </c>
    </row>
    <row r="17" spans="9:31" x14ac:dyDescent="0.2">
      <c r="I17" t="s">
        <v>18</v>
      </c>
      <c r="J17">
        <v>98.3</v>
      </c>
      <c r="K17">
        <v>0</v>
      </c>
      <c r="M17" t="s">
        <v>21</v>
      </c>
      <c r="N17">
        <v>100</v>
      </c>
      <c r="O17">
        <v>1</v>
      </c>
      <c r="Q17" t="s">
        <v>22</v>
      </c>
      <c r="R17">
        <v>70</v>
      </c>
      <c r="S17">
        <v>1</v>
      </c>
      <c r="U17" t="s">
        <v>68</v>
      </c>
      <c r="V17">
        <v>98.3</v>
      </c>
      <c r="W17">
        <v>1</v>
      </c>
      <c r="Y17" t="s">
        <v>24</v>
      </c>
      <c r="Z17">
        <v>99.1</v>
      </c>
      <c r="AA17">
        <v>1</v>
      </c>
      <c r="AC17" t="s">
        <v>29</v>
      </c>
      <c r="AD17">
        <v>97.8</v>
      </c>
      <c r="AE17">
        <v>1</v>
      </c>
    </row>
    <row r="18" spans="9:31" x14ac:dyDescent="0.2">
      <c r="I18" t="s">
        <v>18</v>
      </c>
      <c r="J18">
        <v>94.3</v>
      </c>
      <c r="K18">
        <v>1</v>
      </c>
      <c r="M18" t="s">
        <v>21</v>
      </c>
      <c r="N18">
        <v>100</v>
      </c>
      <c r="O18">
        <v>1</v>
      </c>
      <c r="Q18" t="s">
        <v>22</v>
      </c>
      <c r="R18">
        <v>99.3</v>
      </c>
      <c r="S18">
        <v>1</v>
      </c>
      <c r="U18" t="s">
        <v>68</v>
      </c>
      <c r="V18">
        <v>100</v>
      </c>
      <c r="W18">
        <v>1</v>
      </c>
      <c r="Y18" t="s">
        <v>24</v>
      </c>
      <c r="Z18">
        <v>97.3</v>
      </c>
      <c r="AA18">
        <v>1</v>
      </c>
      <c r="AC18" t="s">
        <v>29</v>
      </c>
      <c r="AD18">
        <v>100</v>
      </c>
      <c r="AE18">
        <v>1</v>
      </c>
    </row>
    <row r="19" spans="9:31" x14ac:dyDescent="0.2">
      <c r="I19" t="s">
        <v>18</v>
      </c>
      <c r="J19">
        <v>100</v>
      </c>
      <c r="K19">
        <v>1</v>
      </c>
      <c r="M19" t="s">
        <v>21</v>
      </c>
      <c r="N19">
        <v>97.1</v>
      </c>
      <c r="O19">
        <v>1</v>
      </c>
      <c r="Q19" t="s">
        <v>22</v>
      </c>
      <c r="R19">
        <v>100</v>
      </c>
      <c r="S19">
        <v>1</v>
      </c>
      <c r="U19" t="s">
        <v>68</v>
      </c>
      <c r="V19">
        <v>99</v>
      </c>
      <c r="W19">
        <v>1</v>
      </c>
      <c r="Y19" t="s">
        <v>24</v>
      </c>
      <c r="Z19">
        <v>99.7</v>
      </c>
      <c r="AA19">
        <v>1</v>
      </c>
      <c r="AC19" t="s">
        <v>29</v>
      </c>
      <c r="AD19">
        <v>92.300000000000011</v>
      </c>
      <c r="AE19">
        <v>1</v>
      </c>
    </row>
    <row r="20" spans="9:31" x14ac:dyDescent="0.2">
      <c r="I20" t="s">
        <v>18</v>
      </c>
      <c r="J20">
        <v>91.75</v>
      </c>
      <c r="K20">
        <v>1</v>
      </c>
      <c r="M20" t="s">
        <v>21</v>
      </c>
      <c r="N20">
        <v>88.1</v>
      </c>
      <c r="O20">
        <v>1</v>
      </c>
      <c r="Q20" t="s">
        <v>22</v>
      </c>
      <c r="R20">
        <v>99.2</v>
      </c>
      <c r="S20">
        <v>1</v>
      </c>
      <c r="U20" t="s">
        <v>68</v>
      </c>
      <c r="V20">
        <v>97.8</v>
      </c>
      <c r="W20">
        <v>1</v>
      </c>
      <c r="Y20" t="s">
        <v>24</v>
      </c>
      <c r="Z20">
        <v>100</v>
      </c>
      <c r="AA20">
        <v>1</v>
      </c>
      <c r="AC20" t="s">
        <v>29</v>
      </c>
      <c r="AD20">
        <v>98.8</v>
      </c>
      <c r="AE20">
        <v>1</v>
      </c>
    </row>
    <row r="21" spans="9:31" x14ac:dyDescent="0.2">
      <c r="I21" t="s">
        <v>19</v>
      </c>
      <c r="J21">
        <v>97</v>
      </c>
      <c r="K21">
        <v>1</v>
      </c>
      <c r="M21" t="s">
        <v>19</v>
      </c>
      <c r="N21">
        <v>94.899999999999991</v>
      </c>
      <c r="O21">
        <v>1</v>
      </c>
      <c r="Q21" t="s">
        <v>22</v>
      </c>
      <c r="R21">
        <v>99.7</v>
      </c>
      <c r="S21">
        <v>1</v>
      </c>
      <c r="U21" t="s">
        <v>68</v>
      </c>
      <c r="V21">
        <v>82.899999999999991</v>
      </c>
      <c r="W21">
        <v>1</v>
      </c>
      <c r="Y21" t="s">
        <v>24</v>
      </c>
      <c r="Z21">
        <v>96.899999999999991</v>
      </c>
      <c r="AA21">
        <v>1</v>
      </c>
      <c r="AC21" t="s">
        <v>29</v>
      </c>
      <c r="AD21">
        <v>96.2</v>
      </c>
      <c r="AE21">
        <v>1</v>
      </c>
    </row>
    <row r="22" spans="9:31" x14ac:dyDescent="0.2">
      <c r="I22" t="s">
        <v>19</v>
      </c>
      <c r="J22">
        <v>95.3</v>
      </c>
      <c r="K22">
        <v>1</v>
      </c>
      <c r="M22" t="s">
        <v>19</v>
      </c>
      <c r="N22">
        <v>96.5</v>
      </c>
      <c r="O22">
        <v>1</v>
      </c>
      <c r="Q22" t="s">
        <v>22</v>
      </c>
      <c r="R22">
        <v>100</v>
      </c>
      <c r="S22">
        <v>0</v>
      </c>
      <c r="U22" t="s">
        <v>68</v>
      </c>
      <c r="V22">
        <v>100</v>
      </c>
      <c r="W22">
        <v>1</v>
      </c>
      <c r="Y22" t="s">
        <v>19</v>
      </c>
      <c r="Z22">
        <v>99.4</v>
      </c>
      <c r="AA22">
        <v>1</v>
      </c>
      <c r="AC22" t="s">
        <v>29</v>
      </c>
      <c r="AD22">
        <v>98.3</v>
      </c>
      <c r="AE22">
        <v>1</v>
      </c>
    </row>
    <row r="23" spans="9:31" x14ac:dyDescent="0.2">
      <c r="I23" t="s">
        <v>19</v>
      </c>
      <c r="J23">
        <v>92</v>
      </c>
      <c r="K23">
        <v>1</v>
      </c>
      <c r="M23" t="s">
        <v>19</v>
      </c>
      <c r="N23">
        <v>99.8</v>
      </c>
      <c r="O23">
        <v>1</v>
      </c>
      <c r="Q23" t="s">
        <v>19</v>
      </c>
      <c r="R23">
        <v>100</v>
      </c>
      <c r="S23">
        <v>1</v>
      </c>
      <c r="U23" t="s">
        <v>68</v>
      </c>
      <c r="V23">
        <v>98.7</v>
      </c>
      <c r="W23">
        <v>1</v>
      </c>
      <c r="Y23" t="s">
        <v>19</v>
      </c>
      <c r="Z23">
        <v>81.2</v>
      </c>
      <c r="AA23">
        <v>1</v>
      </c>
      <c r="AC23" t="s">
        <v>19</v>
      </c>
      <c r="AD23">
        <v>99.5</v>
      </c>
      <c r="AE23">
        <v>1</v>
      </c>
    </row>
    <row r="24" spans="9:31" x14ac:dyDescent="0.2">
      <c r="I24" t="s">
        <v>19</v>
      </c>
      <c r="J24">
        <v>100</v>
      </c>
      <c r="K24">
        <v>1</v>
      </c>
      <c r="M24" t="s">
        <v>19</v>
      </c>
      <c r="N24">
        <v>97.3</v>
      </c>
      <c r="O24">
        <v>1</v>
      </c>
      <c r="Q24" t="s">
        <v>19</v>
      </c>
      <c r="R24">
        <v>96</v>
      </c>
      <c r="S24">
        <v>1</v>
      </c>
      <c r="U24" t="s">
        <v>19</v>
      </c>
      <c r="V24">
        <v>99.2</v>
      </c>
      <c r="W24">
        <v>1</v>
      </c>
      <c r="Y24" t="s">
        <v>19</v>
      </c>
      <c r="Z24">
        <v>100</v>
      </c>
      <c r="AA24">
        <v>1</v>
      </c>
      <c r="AC24" t="s">
        <v>19</v>
      </c>
      <c r="AD24">
        <v>99.2</v>
      </c>
      <c r="AE24">
        <v>1</v>
      </c>
    </row>
    <row r="25" spans="9:31" x14ac:dyDescent="0.2">
      <c r="I25" t="s">
        <v>19</v>
      </c>
      <c r="J25">
        <v>99.6</v>
      </c>
      <c r="K25">
        <v>1</v>
      </c>
      <c r="M25" t="s">
        <v>19</v>
      </c>
      <c r="N25">
        <v>97.5</v>
      </c>
      <c r="O25">
        <v>1</v>
      </c>
      <c r="Q25" t="s">
        <v>19</v>
      </c>
      <c r="R25">
        <v>99.8</v>
      </c>
      <c r="S25">
        <v>1</v>
      </c>
      <c r="U25" t="s">
        <v>19</v>
      </c>
      <c r="V25">
        <v>62</v>
      </c>
      <c r="W25">
        <v>1</v>
      </c>
      <c r="Y25" t="s">
        <v>19</v>
      </c>
      <c r="Z25">
        <v>95.5</v>
      </c>
      <c r="AA25">
        <v>1</v>
      </c>
      <c r="AC25" t="s">
        <v>19</v>
      </c>
      <c r="AD25">
        <v>100</v>
      </c>
      <c r="AE25">
        <v>1</v>
      </c>
    </row>
    <row r="26" spans="9:31" x14ac:dyDescent="0.2">
      <c r="I26" t="s">
        <v>19</v>
      </c>
      <c r="J26">
        <v>100</v>
      </c>
      <c r="K26">
        <v>1</v>
      </c>
      <c r="M26" t="s">
        <v>19</v>
      </c>
      <c r="N26">
        <v>94.399999999999991</v>
      </c>
      <c r="O26">
        <v>1</v>
      </c>
      <c r="Q26" t="s">
        <v>19</v>
      </c>
      <c r="R26">
        <v>98.7</v>
      </c>
      <c r="S26">
        <v>1</v>
      </c>
      <c r="U26" t="s">
        <v>19</v>
      </c>
      <c r="V26">
        <v>77.8</v>
      </c>
      <c r="W26">
        <v>1</v>
      </c>
      <c r="Y26" t="s">
        <v>19</v>
      </c>
      <c r="Z26">
        <v>98.9</v>
      </c>
      <c r="AA26">
        <v>1</v>
      </c>
      <c r="AC26" t="s">
        <v>19</v>
      </c>
      <c r="AD26">
        <v>96.399999999999991</v>
      </c>
      <c r="AE26">
        <v>1</v>
      </c>
    </row>
    <row r="27" spans="9:31" x14ac:dyDescent="0.2">
      <c r="I27" t="s">
        <v>19</v>
      </c>
      <c r="J27">
        <v>94.199999999999989</v>
      </c>
      <c r="K27">
        <v>1</v>
      </c>
      <c r="M27" t="s">
        <v>19</v>
      </c>
      <c r="N27">
        <v>100</v>
      </c>
      <c r="O27">
        <v>1</v>
      </c>
      <c r="Q27" t="s">
        <v>19</v>
      </c>
      <c r="R27">
        <v>98.2</v>
      </c>
      <c r="S27">
        <v>1</v>
      </c>
      <c r="U27" t="s">
        <v>19</v>
      </c>
      <c r="V27">
        <v>100</v>
      </c>
      <c r="W27">
        <v>1</v>
      </c>
      <c r="Y27" t="s">
        <v>19</v>
      </c>
      <c r="Z27">
        <v>95.899999999999991</v>
      </c>
      <c r="AA27">
        <v>1</v>
      </c>
      <c r="AC27" t="s">
        <v>19</v>
      </c>
      <c r="AD27">
        <v>99.4</v>
      </c>
      <c r="AE27">
        <v>1</v>
      </c>
    </row>
    <row r="28" spans="9:31" x14ac:dyDescent="0.2">
      <c r="I28" t="s">
        <v>19</v>
      </c>
      <c r="J28">
        <v>99.6</v>
      </c>
      <c r="K28">
        <v>1</v>
      </c>
      <c r="M28" t="s">
        <v>19</v>
      </c>
      <c r="N28">
        <v>100</v>
      </c>
      <c r="O28">
        <v>1</v>
      </c>
      <c r="Q28" t="s">
        <v>19</v>
      </c>
      <c r="R28">
        <v>90.3</v>
      </c>
      <c r="S28">
        <v>1</v>
      </c>
      <c r="U28" t="s">
        <v>19</v>
      </c>
      <c r="V28">
        <v>100</v>
      </c>
      <c r="W28">
        <v>1</v>
      </c>
      <c r="Y28" t="s">
        <v>19</v>
      </c>
      <c r="Z28">
        <v>100</v>
      </c>
      <c r="AA28">
        <v>1</v>
      </c>
      <c r="AC28" t="s">
        <v>19</v>
      </c>
      <c r="AD28">
        <v>98</v>
      </c>
      <c r="AE28">
        <v>1</v>
      </c>
    </row>
    <row r="29" spans="9:31" x14ac:dyDescent="0.2">
      <c r="I29" t="s">
        <v>19</v>
      </c>
      <c r="J29">
        <v>98.2</v>
      </c>
      <c r="K29">
        <v>1</v>
      </c>
      <c r="M29" t="s">
        <v>19</v>
      </c>
      <c r="N29">
        <v>98.4</v>
      </c>
      <c r="O29">
        <v>1</v>
      </c>
      <c r="Q29" t="s">
        <v>19</v>
      </c>
      <c r="R29">
        <v>98.7</v>
      </c>
      <c r="S29">
        <v>1</v>
      </c>
      <c r="U29" t="s">
        <v>19</v>
      </c>
      <c r="V29">
        <v>96.2</v>
      </c>
      <c r="W29">
        <v>1</v>
      </c>
      <c r="Y29" t="s">
        <v>19</v>
      </c>
      <c r="Z29">
        <v>99.4</v>
      </c>
      <c r="AA29">
        <v>1</v>
      </c>
      <c r="AC29" t="s">
        <v>19</v>
      </c>
      <c r="AD29">
        <v>100</v>
      </c>
      <c r="AE29">
        <v>0</v>
      </c>
    </row>
    <row r="30" spans="9:31" x14ac:dyDescent="0.2">
      <c r="I30" t="s">
        <v>19</v>
      </c>
      <c r="J30">
        <v>97.8</v>
      </c>
      <c r="K30">
        <v>1</v>
      </c>
      <c r="M30" t="s">
        <v>19</v>
      </c>
      <c r="N30">
        <v>99.1</v>
      </c>
      <c r="O30">
        <v>1</v>
      </c>
      <c r="Q30" t="s">
        <v>19</v>
      </c>
      <c r="R30">
        <v>100</v>
      </c>
      <c r="S30">
        <v>1</v>
      </c>
      <c r="U30" t="s">
        <v>19</v>
      </c>
      <c r="V30">
        <v>95.3</v>
      </c>
      <c r="W30">
        <v>1</v>
      </c>
      <c r="Y30" t="s">
        <v>19</v>
      </c>
      <c r="Z30">
        <v>99</v>
      </c>
      <c r="AA30">
        <v>1</v>
      </c>
      <c r="AC30" t="s">
        <v>19</v>
      </c>
      <c r="AD30">
        <v>98.5</v>
      </c>
      <c r="AE30">
        <v>1</v>
      </c>
    </row>
    <row r="31" spans="9:31" x14ac:dyDescent="0.2">
      <c r="I31" t="s">
        <v>19</v>
      </c>
      <c r="J31">
        <v>100</v>
      </c>
      <c r="K31">
        <v>1</v>
      </c>
      <c r="M31" t="s">
        <v>19</v>
      </c>
      <c r="N31">
        <v>99.8</v>
      </c>
      <c r="O31">
        <v>1</v>
      </c>
      <c r="Q31" t="s">
        <v>19</v>
      </c>
      <c r="R31">
        <v>67.900000000000006</v>
      </c>
      <c r="S31">
        <v>1</v>
      </c>
      <c r="U31" t="s">
        <v>19</v>
      </c>
      <c r="V31">
        <v>76</v>
      </c>
      <c r="W31">
        <v>1</v>
      </c>
      <c r="Y31" t="s">
        <v>19</v>
      </c>
      <c r="Z31">
        <v>99.1</v>
      </c>
      <c r="AA31">
        <v>1</v>
      </c>
      <c r="AC31" t="s">
        <v>19</v>
      </c>
      <c r="AD31">
        <v>98.5</v>
      </c>
      <c r="AE31">
        <v>1</v>
      </c>
    </row>
    <row r="32" spans="9:31" x14ac:dyDescent="0.2">
      <c r="I32" t="s">
        <v>19</v>
      </c>
      <c r="J32">
        <v>97</v>
      </c>
      <c r="K32">
        <v>1</v>
      </c>
      <c r="M32" t="s">
        <v>19</v>
      </c>
      <c r="N32">
        <v>85.6</v>
      </c>
      <c r="O32">
        <v>1</v>
      </c>
      <c r="Q32" t="s">
        <v>19</v>
      </c>
      <c r="R32">
        <v>98</v>
      </c>
      <c r="S32">
        <v>1</v>
      </c>
      <c r="U32" t="s">
        <v>19</v>
      </c>
      <c r="V32">
        <v>92.4</v>
      </c>
      <c r="W32">
        <v>1</v>
      </c>
      <c r="Y32" t="s">
        <v>19</v>
      </c>
      <c r="Z32">
        <v>98.3</v>
      </c>
      <c r="AA32">
        <v>1</v>
      </c>
      <c r="AC32" t="s">
        <v>19</v>
      </c>
      <c r="AD32">
        <v>97.8</v>
      </c>
      <c r="AE32">
        <v>1</v>
      </c>
    </row>
    <row r="33" spans="9:31" x14ac:dyDescent="0.2">
      <c r="I33" t="s">
        <v>19</v>
      </c>
      <c r="J33">
        <v>95.199999999999989</v>
      </c>
      <c r="K33">
        <v>1</v>
      </c>
      <c r="M33" t="s">
        <v>19</v>
      </c>
      <c r="N33">
        <v>97</v>
      </c>
      <c r="O33">
        <v>1</v>
      </c>
      <c r="Q33" t="s">
        <v>19</v>
      </c>
      <c r="R33">
        <v>98.5</v>
      </c>
      <c r="S33">
        <v>1</v>
      </c>
      <c r="U33" t="s">
        <v>19</v>
      </c>
      <c r="V33">
        <v>99.7</v>
      </c>
      <c r="W33">
        <v>1</v>
      </c>
      <c r="Y33" t="s">
        <v>19</v>
      </c>
      <c r="Z33">
        <v>100</v>
      </c>
      <c r="AA33">
        <v>1</v>
      </c>
      <c r="AC33" t="s">
        <v>19</v>
      </c>
      <c r="AD33">
        <v>97.3</v>
      </c>
      <c r="AE33">
        <v>1</v>
      </c>
    </row>
    <row r="34" spans="9:31" x14ac:dyDescent="0.2">
      <c r="I34" t="s">
        <v>19</v>
      </c>
      <c r="J34">
        <v>98.2</v>
      </c>
      <c r="K34">
        <v>1</v>
      </c>
      <c r="M34" t="s">
        <v>19</v>
      </c>
      <c r="N34">
        <v>91.4</v>
      </c>
      <c r="O34">
        <v>1</v>
      </c>
      <c r="Q34" t="s">
        <v>19</v>
      </c>
      <c r="R34">
        <v>79.7</v>
      </c>
      <c r="S34">
        <v>1</v>
      </c>
      <c r="U34" t="s">
        <v>19</v>
      </c>
      <c r="V34">
        <v>100</v>
      </c>
      <c r="W34">
        <v>1</v>
      </c>
      <c r="Y34" t="s">
        <v>19</v>
      </c>
      <c r="Z34">
        <v>97.8</v>
      </c>
      <c r="AA34">
        <v>1</v>
      </c>
      <c r="AC34" t="s">
        <v>19</v>
      </c>
      <c r="AD34">
        <v>98.2</v>
      </c>
      <c r="AE34">
        <v>1</v>
      </c>
    </row>
    <row r="35" spans="9:31" x14ac:dyDescent="0.2">
      <c r="I35" t="s">
        <v>19</v>
      </c>
      <c r="J35">
        <v>95.399999999999991</v>
      </c>
      <c r="K35">
        <v>1</v>
      </c>
      <c r="M35" t="s">
        <v>19</v>
      </c>
      <c r="N35">
        <v>96.399999999999991</v>
      </c>
      <c r="O35">
        <v>1</v>
      </c>
      <c r="Q35" t="s">
        <v>19</v>
      </c>
      <c r="R35">
        <v>100</v>
      </c>
      <c r="S35">
        <v>1</v>
      </c>
      <c r="U35" t="s">
        <v>19</v>
      </c>
      <c r="V35">
        <v>99.6</v>
      </c>
      <c r="W35">
        <v>1</v>
      </c>
      <c r="Y35" t="s">
        <v>19</v>
      </c>
      <c r="Z35">
        <v>98.7</v>
      </c>
      <c r="AA35">
        <v>1</v>
      </c>
      <c r="AC35" t="s">
        <v>19</v>
      </c>
      <c r="AD35">
        <v>97.899999999999991</v>
      </c>
      <c r="AE35">
        <v>1</v>
      </c>
    </row>
    <row r="36" spans="9:31" x14ac:dyDescent="0.2">
      <c r="I36" t="s">
        <v>19</v>
      </c>
      <c r="J36">
        <v>98.4</v>
      </c>
      <c r="K36">
        <v>1</v>
      </c>
      <c r="M36" t="s">
        <v>19</v>
      </c>
      <c r="N36">
        <v>93.7</v>
      </c>
      <c r="O36">
        <v>1</v>
      </c>
      <c r="Q36" t="s">
        <v>19</v>
      </c>
      <c r="R36">
        <v>97.6</v>
      </c>
      <c r="S36">
        <v>1</v>
      </c>
      <c r="U36" t="s">
        <v>19</v>
      </c>
      <c r="V36">
        <v>100</v>
      </c>
      <c r="W36">
        <v>1</v>
      </c>
      <c r="Y36" t="s">
        <v>19</v>
      </c>
      <c r="Z36">
        <v>98.1</v>
      </c>
      <c r="AA36">
        <v>1</v>
      </c>
      <c r="AC36" t="s">
        <v>19</v>
      </c>
      <c r="AD36">
        <v>99.1</v>
      </c>
      <c r="AE36">
        <v>1</v>
      </c>
    </row>
    <row r="37" spans="9:31" x14ac:dyDescent="0.2">
      <c r="I37" t="s">
        <v>19</v>
      </c>
      <c r="J37">
        <v>98.5</v>
      </c>
      <c r="K37">
        <v>1</v>
      </c>
      <c r="M37" t="s">
        <v>19</v>
      </c>
      <c r="N37">
        <v>57.699999999999996</v>
      </c>
      <c r="O37">
        <v>1</v>
      </c>
      <c r="Q37" t="s">
        <v>19</v>
      </c>
      <c r="R37">
        <v>100</v>
      </c>
      <c r="S37">
        <v>1</v>
      </c>
      <c r="U37" t="s">
        <v>19</v>
      </c>
      <c r="V37">
        <v>98.1</v>
      </c>
      <c r="W37">
        <v>1</v>
      </c>
      <c r="Y37" t="s">
        <v>19</v>
      </c>
      <c r="Z37">
        <v>98</v>
      </c>
      <c r="AA37">
        <v>1</v>
      </c>
      <c r="AC37" t="s">
        <v>19</v>
      </c>
      <c r="AD37">
        <v>99</v>
      </c>
      <c r="AE37">
        <v>1</v>
      </c>
    </row>
    <row r="38" spans="9:31" x14ac:dyDescent="0.2">
      <c r="I38" t="s">
        <v>19</v>
      </c>
      <c r="J38">
        <v>99.5</v>
      </c>
      <c r="K38">
        <v>1</v>
      </c>
      <c r="M38" t="s">
        <v>19</v>
      </c>
      <c r="N38">
        <v>98.6</v>
      </c>
      <c r="O38">
        <v>1</v>
      </c>
      <c r="Q38" t="s">
        <v>19</v>
      </c>
      <c r="R38">
        <v>95.199999999999989</v>
      </c>
      <c r="S38">
        <v>1</v>
      </c>
      <c r="U38" t="s">
        <v>19</v>
      </c>
      <c r="V38">
        <v>98.2</v>
      </c>
      <c r="W38">
        <v>1</v>
      </c>
      <c r="Y38" t="s">
        <v>19</v>
      </c>
      <c r="Z38">
        <v>97.7</v>
      </c>
      <c r="AA38">
        <v>1</v>
      </c>
      <c r="AC38" t="s">
        <v>19</v>
      </c>
      <c r="AD38">
        <v>9.8000000000000007</v>
      </c>
      <c r="AE38">
        <v>1</v>
      </c>
    </row>
    <row r="39" spans="9:31" x14ac:dyDescent="0.2">
      <c r="I39" t="s">
        <v>19</v>
      </c>
      <c r="J39">
        <v>85.7</v>
      </c>
      <c r="K39">
        <v>1</v>
      </c>
      <c r="M39" t="s">
        <v>6</v>
      </c>
      <c r="N39">
        <v>97.7</v>
      </c>
      <c r="O39">
        <v>1</v>
      </c>
      <c r="Q39" t="s">
        <v>19</v>
      </c>
      <c r="R39">
        <v>97.3</v>
      </c>
      <c r="S39">
        <v>1</v>
      </c>
      <c r="U39" t="s">
        <v>19</v>
      </c>
      <c r="V39">
        <v>100</v>
      </c>
      <c r="W39">
        <v>1</v>
      </c>
      <c r="Y39" t="s">
        <v>19</v>
      </c>
      <c r="Z39">
        <v>98.5</v>
      </c>
      <c r="AA39">
        <v>1</v>
      </c>
      <c r="AC39" t="s">
        <v>19</v>
      </c>
      <c r="AD39">
        <v>96.899999999999991</v>
      </c>
      <c r="AE39">
        <v>1</v>
      </c>
    </row>
    <row r="40" spans="9:31" x14ac:dyDescent="0.2">
      <c r="I40" t="s">
        <v>19</v>
      </c>
      <c r="J40">
        <v>100</v>
      </c>
      <c r="K40">
        <v>0</v>
      </c>
      <c r="M40" t="s">
        <v>6</v>
      </c>
      <c r="N40">
        <v>99.8</v>
      </c>
      <c r="O40">
        <v>1</v>
      </c>
      <c r="Q40" t="s">
        <v>19</v>
      </c>
      <c r="R40">
        <v>99.7</v>
      </c>
      <c r="S40">
        <v>1</v>
      </c>
      <c r="U40" t="s">
        <v>19</v>
      </c>
      <c r="V40">
        <v>97</v>
      </c>
      <c r="W40">
        <v>1</v>
      </c>
      <c r="Y40" t="s">
        <v>19</v>
      </c>
      <c r="Z40">
        <v>100</v>
      </c>
      <c r="AA40">
        <v>1</v>
      </c>
      <c r="AC40" t="s">
        <v>19</v>
      </c>
      <c r="AD40">
        <v>98</v>
      </c>
      <c r="AE40">
        <v>1</v>
      </c>
    </row>
    <row r="41" spans="9:31" x14ac:dyDescent="0.2">
      <c r="I41" t="s">
        <v>19</v>
      </c>
      <c r="J41">
        <v>100</v>
      </c>
      <c r="K41">
        <v>1</v>
      </c>
      <c r="M41" t="s">
        <v>6</v>
      </c>
      <c r="N41">
        <v>95.3</v>
      </c>
      <c r="O41">
        <v>1</v>
      </c>
      <c r="Q41" t="s">
        <v>19</v>
      </c>
      <c r="R41">
        <v>98</v>
      </c>
      <c r="S41">
        <v>1</v>
      </c>
      <c r="U41" t="s">
        <v>19</v>
      </c>
      <c r="V41">
        <v>99.5</v>
      </c>
      <c r="W41">
        <v>1</v>
      </c>
      <c r="Y41" t="s">
        <v>19</v>
      </c>
      <c r="Z41">
        <v>100</v>
      </c>
      <c r="AA41">
        <v>1</v>
      </c>
      <c r="AC41" t="s">
        <v>19</v>
      </c>
      <c r="AD41">
        <v>98.6</v>
      </c>
      <c r="AE41">
        <v>1</v>
      </c>
    </row>
    <row r="42" spans="9:31" x14ac:dyDescent="0.2">
      <c r="I42" t="s">
        <v>6</v>
      </c>
      <c r="J42">
        <v>94.399999999999991</v>
      </c>
      <c r="K42">
        <v>1</v>
      </c>
      <c r="M42" t="s">
        <v>6</v>
      </c>
      <c r="N42">
        <v>98.9</v>
      </c>
      <c r="O42">
        <v>1</v>
      </c>
      <c r="Q42" t="s">
        <v>19</v>
      </c>
      <c r="R42">
        <v>99.1</v>
      </c>
      <c r="S42">
        <v>1</v>
      </c>
      <c r="U42" t="s">
        <v>19</v>
      </c>
      <c r="V42">
        <v>97.899999999999991</v>
      </c>
      <c r="W42">
        <v>1</v>
      </c>
      <c r="Y42" t="s">
        <v>19</v>
      </c>
      <c r="Z42">
        <v>76.900000000000006</v>
      </c>
      <c r="AA42">
        <v>1</v>
      </c>
      <c r="AC42" t="s">
        <v>19</v>
      </c>
      <c r="AD42">
        <v>98.7</v>
      </c>
      <c r="AE42">
        <v>0</v>
      </c>
    </row>
    <row r="43" spans="9:31" x14ac:dyDescent="0.2">
      <c r="I43" t="s">
        <v>6</v>
      </c>
      <c r="J43">
        <v>99.3</v>
      </c>
      <c r="K43">
        <v>1</v>
      </c>
      <c r="M43" t="s">
        <v>6</v>
      </c>
      <c r="N43">
        <v>90</v>
      </c>
      <c r="O43">
        <v>1</v>
      </c>
      <c r="Q43" t="s">
        <v>6</v>
      </c>
      <c r="R43">
        <v>97.8</v>
      </c>
      <c r="S43">
        <v>1</v>
      </c>
      <c r="U43" t="s">
        <v>19</v>
      </c>
      <c r="V43">
        <v>100</v>
      </c>
      <c r="W43">
        <v>1</v>
      </c>
      <c r="Y43" t="s">
        <v>6</v>
      </c>
      <c r="Z43">
        <v>99.7</v>
      </c>
      <c r="AA43">
        <v>1</v>
      </c>
      <c r="AC43" t="s">
        <v>19</v>
      </c>
      <c r="AD43">
        <v>86.6</v>
      </c>
      <c r="AE43">
        <v>1</v>
      </c>
    </row>
    <row r="44" spans="9:31" x14ac:dyDescent="0.2">
      <c r="I44" t="s">
        <v>6</v>
      </c>
      <c r="J44">
        <v>99.1</v>
      </c>
      <c r="K44">
        <v>1</v>
      </c>
      <c r="M44" t="s">
        <v>6</v>
      </c>
      <c r="N44">
        <v>99.5</v>
      </c>
      <c r="O44">
        <v>1</v>
      </c>
      <c r="Q44" t="s">
        <v>6</v>
      </c>
      <c r="R44">
        <v>64.5</v>
      </c>
      <c r="S44">
        <v>1</v>
      </c>
      <c r="U44" t="s">
        <v>6</v>
      </c>
      <c r="V44">
        <v>100</v>
      </c>
      <c r="W44">
        <v>1</v>
      </c>
      <c r="Y44" t="s">
        <v>6</v>
      </c>
      <c r="Z44">
        <v>84.1</v>
      </c>
      <c r="AA44">
        <v>1</v>
      </c>
      <c r="AC44" t="s">
        <v>19</v>
      </c>
      <c r="AD44">
        <v>98.7</v>
      </c>
      <c r="AE44">
        <v>1</v>
      </c>
    </row>
    <row r="45" spans="9:31" x14ac:dyDescent="0.2">
      <c r="I45" t="s">
        <v>6</v>
      </c>
      <c r="J45">
        <v>95.1</v>
      </c>
      <c r="K45">
        <v>1</v>
      </c>
      <c r="M45" t="s">
        <v>6</v>
      </c>
      <c r="N45">
        <v>96.8</v>
      </c>
      <c r="O45">
        <v>1</v>
      </c>
      <c r="Q45" t="s">
        <v>6</v>
      </c>
      <c r="R45">
        <v>94.3</v>
      </c>
      <c r="S45">
        <v>1</v>
      </c>
      <c r="U45" t="s">
        <v>6</v>
      </c>
      <c r="V45">
        <v>98.3</v>
      </c>
      <c r="W45">
        <v>1</v>
      </c>
      <c r="Y45" t="s">
        <v>6</v>
      </c>
      <c r="Z45">
        <v>99.5</v>
      </c>
      <c r="AA45">
        <v>1</v>
      </c>
      <c r="AC45" t="s">
        <v>6</v>
      </c>
      <c r="AD45">
        <v>100</v>
      </c>
      <c r="AE45">
        <v>1</v>
      </c>
    </row>
    <row r="46" spans="9:31" x14ac:dyDescent="0.2">
      <c r="I46" t="s">
        <v>6</v>
      </c>
      <c r="J46">
        <v>99.1</v>
      </c>
      <c r="K46">
        <v>1</v>
      </c>
      <c r="M46" t="s">
        <v>6</v>
      </c>
      <c r="N46">
        <v>98</v>
      </c>
      <c r="O46">
        <v>1</v>
      </c>
      <c r="Q46" t="s">
        <v>6</v>
      </c>
      <c r="R46">
        <v>80.7</v>
      </c>
      <c r="S46">
        <v>1</v>
      </c>
      <c r="U46" t="s">
        <v>6</v>
      </c>
      <c r="V46">
        <v>99</v>
      </c>
      <c r="W46">
        <v>1</v>
      </c>
      <c r="Y46" t="s">
        <v>6</v>
      </c>
      <c r="Z46">
        <v>99.5</v>
      </c>
      <c r="AA46">
        <v>1</v>
      </c>
      <c r="AC46" t="s">
        <v>6</v>
      </c>
      <c r="AD46">
        <v>99.2</v>
      </c>
      <c r="AE46">
        <v>1</v>
      </c>
    </row>
    <row r="47" spans="9:31" x14ac:dyDescent="0.2">
      <c r="I47" t="s">
        <v>6</v>
      </c>
      <c r="J47">
        <v>100</v>
      </c>
      <c r="K47">
        <v>1</v>
      </c>
      <c r="M47" t="s">
        <v>6</v>
      </c>
      <c r="N47">
        <v>99.5</v>
      </c>
      <c r="O47">
        <v>1</v>
      </c>
      <c r="Q47" t="s">
        <v>6</v>
      </c>
      <c r="R47">
        <v>100</v>
      </c>
      <c r="S47">
        <v>1</v>
      </c>
      <c r="U47" t="s">
        <v>6</v>
      </c>
      <c r="V47">
        <v>99.1</v>
      </c>
      <c r="W47">
        <v>1</v>
      </c>
      <c r="Y47" t="s">
        <v>6</v>
      </c>
      <c r="Z47">
        <v>96.2</v>
      </c>
      <c r="AA47">
        <v>1</v>
      </c>
      <c r="AC47" t="s">
        <v>6</v>
      </c>
      <c r="AD47">
        <v>96.8</v>
      </c>
      <c r="AE47">
        <v>1</v>
      </c>
    </row>
    <row r="48" spans="9:31" x14ac:dyDescent="0.2">
      <c r="I48" t="s">
        <v>6</v>
      </c>
      <c r="J48">
        <v>98.6</v>
      </c>
      <c r="K48">
        <v>1</v>
      </c>
      <c r="M48" t="s">
        <v>6</v>
      </c>
      <c r="N48">
        <v>94</v>
      </c>
      <c r="O48">
        <v>1</v>
      </c>
      <c r="Q48" t="s">
        <v>6</v>
      </c>
      <c r="R48">
        <v>95.899999999999991</v>
      </c>
      <c r="S48">
        <v>1</v>
      </c>
      <c r="U48" t="s">
        <v>6</v>
      </c>
      <c r="V48">
        <v>100</v>
      </c>
      <c r="W48">
        <v>1</v>
      </c>
      <c r="Y48" t="s">
        <v>6</v>
      </c>
      <c r="Z48">
        <v>90.3</v>
      </c>
      <c r="AA48">
        <v>1</v>
      </c>
      <c r="AC48" t="s">
        <v>6</v>
      </c>
      <c r="AD48">
        <v>86.2</v>
      </c>
      <c r="AE48">
        <v>1</v>
      </c>
    </row>
    <row r="49" spans="9:31" x14ac:dyDescent="0.2">
      <c r="I49" t="s">
        <v>6</v>
      </c>
      <c r="J49">
        <v>99.5</v>
      </c>
      <c r="K49">
        <v>1</v>
      </c>
      <c r="M49" t="s">
        <v>6</v>
      </c>
      <c r="N49">
        <v>97.8</v>
      </c>
      <c r="O49">
        <v>1</v>
      </c>
      <c r="Q49" t="s">
        <v>6</v>
      </c>
      <c r="R49">
        <v>90.3</v>
      </c>
      <c r="S49">
        <v>1</v>
      </c>
      <c r="U49" t="s">
        <v>6</v>
      </c>
      <c r="V49">
        <v>95.8</v>
      </c>
      <c r="W49">
        <v>1</v>
      </c>
      <c r="Y49" t="s">
        <v>6</v>
      </c>
      <c r="Z49">
        <v>89.600000000000009</v>
      </c>
      <c r="AA49">
        <v>1</v>
      </c>
      <c r="AC49" t="s">
        <v>6</v>
      </c>
      <c r="AD49">
        <v>98.6</v>
      </c>
      <c r="AE49">
        <v>1</v>
      </c>
    </row>
    <row r="50" spans="9:31" x14ac:dyDescent="0.2">
      <c r="I50" t="s">
        <v>6</v>
      </c>
      <c r="J50">
        <v>100</v>
      </c>
      <c r="K50">
        <v>1</v>
      </c>
      <c r="M50" t="s">
        <v>6</v>
      </c>
      <c r="N50">
        <v>90.600000000000009</v>
      </c>
      <c r="O50">
        <v>1</v>
      </c>
      <c r="Q50" t="s">
        <v>6</v>
      </c>
      <c r="R50">
        <v>92.800000000000011</v>
      </c>
      <c r="S50">
        <v>1</v>
      </c>
      <c r="U50" t="s">
        <v>6</v>
      </c>
      <c r="V50">
        <v>99.6</v>
      </c>
      <c r="W50">
        <v>1</v>
      </c>
      <c r="Y50" t="s">
        <v>6</v>
      </c>
      <c r="Z50">
        <v>75.900000000000006</v>
      </c>
      <c r="AA50">
        <v>1</v>
      </c>
      <c r="AC50" t="s">
        <v>6</v>
      </c>
      <c r="AD50">
        <v>95.7</v>
      </c>
      <c r="AE50">
        <v>1</v>
      </c>
    </row>
    <row r="51" spans="9:31" x14ac:dyDescent="0.2">
      <c r="I51" t="s">
        <v>6</v>
      </c>
      <c r="J51">
        <v>95.899999999999991</v>
      </c>
      <c r="K51">
        <v>1</v>
      </c>
      <c r="M51" t="s">
        <v>6</v>
      </c>
      <c r="N51">
        <v>100</v>
      </c>
      <c r="O51">
        <v>1</v>
      </c>
      <c r="Q51" t="s">
        <v>6</v>
      </c>
      <c r="R51">
        <v>48.5</v>
      </c>
      <c r="S51">
        <v>1</v>
      </c>
      <c r="U51" t="s">
        <v>6</v>
      </c>
      <c r="V51">
        <v>91.8</v>
      </c>
      <c r="W51">
        <v>1</v>
      </c>
      <c r="Y51" t="s">
        <v>6</v>
      </c>
      <c r="Z51">
        <v>99.4</v>
      </c>
      <c r="AA51">
        <v>1</v>
      </c>
      <c r="AC51" t="s">
        <v>6</v>
      </c>
      <c r="AD51">
        <v>99</v>
      </c>
      <c r="AE51">
        <v>1</v>
      </c>
    </row>
    <row r="52" spans="9:31" x14ac:dyDescent="0.2">
      <c r="I52" t="s">
        <v>6</v>
      </c>
      <c r="J52">
        <v>99.7</v>
      </c>
      <c r="K52">
        <v>1</v>
      </c>
      <c r="M52" t="s">
        <v>6</v>
      </c>
      <c r="N52">
        <v>98.5</v>
      </c>
      <c r="O52">
        <v>1</v>
      </c>
      <c r="Q52" t="s">
        <v>6</v>
      </c>
      <c r="R52">
        <v>93.5</v>
      </c>
      <c r="S52">
        <v>1</v>
      </c>
      <c r="U52" t="s">
        <v>6</v>
      </c>
      <c r="V52">
        <v>97.5</v>
      </c>
      <c r="W52">
        <v>1</v>
      </c>
      <c r="Y52" t="s">
        <v>6</v>
      </c>
      <c r="Z52">
        <v>94.6</v>
      </c>
      <c r="AA52">
        <v>0</v>
      </c>
      <c r="AC52" t="s">
        <v>6</v>
      </c>
      <c r="AD52">
        <v>96.2</v>
      </c>
      <c r="AE52">
        <v>1</v>
      </c>
    </row>
    <row r="53" spans="9:31" x14ac:dyDescent="0.2">
      <c r="I53" t="s">
        <v>6</v>
      </c>
      <c r="J53">
        <v>99.1</v>
      </c>
      <c r="K53">
        <v>1</v>
      </c>
      <c r="M53" t="s">
        <v>6</v>
      </c>
      <c r="N53">
        <v>98.6</v>
      </c>
      <c r="O53">
        <v>1</v>
      </c>
      <c r="Q53" t="s">
        <v>6</v>
      </c>
      <c r="R53">
        <v>99.1</v>
      </c>
      <c r="S53">
        <v>1</v>
      </c>
      <c r="U53" t="s">
        <v>6</v>
      </c>
      <c r="V53">
        <v>100</v>
      </c>
      <c r="W53">
        <v>0</v>
      </c>
      <c r="Y53" t="s">
        <v>6</v>
      </c>
      <c r="Z53">
        <v>100</v>
      </c>
      <c r="AA53">
        <v>1</v>
      </c>
      <c r="AC53" t="s">
        <v>6</v>
      </c>
      <c r="AD53">
        <v>95.399999999999991</v>
      </c>
      <c r="AE53">
        <v>1</v>
      </c>
    </row>
    <row r="54" spans="9:31" x14ac:dyDescent="0.2">
      <c r="I54" t="s">
        <v>6</v>
      </c>
      <c r="J54">
        <v>82.699999999999989</v>
      </c>
      <c r="K54">
        <v>1</v>
      </c>
      <c r="M54" t="s">
        <v>6</v>
      </c>
      <c r="N54">
        <v>82.8</v>
      </c>
      <c r="O54">
        <v>1</v>
      </c>
      <c r="Q54" t="s">
        <v>6</v>
      </c>
      <c r="R54">
        <v>62.5</v>
      </c>
      <c r="S54">
        <v>1</v>
      </c>
      <c r="U54" t="s">
        <v>6</v>
      </c>
      <c r="V54">
        <v>99</v>
      </c>
      <c r="W54">
        <v>1</v>
      </c>
      <c r="Y54" t="s">
        <v>6</v>
      </c>
      <c r="Z54">
        <v>99.6</v>
      </c>
      <c r="AA54">
        <v>1</v>
      </c>
      <c r="AC54" t="s">
        <v>6</v>
      </c>
      <c r="AD54">
        <v>98.4</v>
      </c>
      <c r="AE54">
        <v>1</v>
      </c>
    </row>
    <row r="55" spans="9:31" x14ac:dyDescent="0.2">
      <c r="I55" t="s">
        <v>6</v>
      </c>
      <c r="J55">
        <v>100</v>
      </c>
      <c r="K55">
        <v>1</v>
      </c>
      <c r="M55" t="s">
        <v>6</v>
      </c>
      <c r="N55">
        <v>4</v>
      </c>
      <c r="O55">
        <v>1</v>
      </c>
      <c r="Q55" t="s">
        <v>6</v>
      </c>
      <c r="R55">
        <v>90</v>
      </c>
      <c r="S55">
        <v>1</v>
      </c>
      <c r="U55" t="s">
        <v>6</v>
      </c>
      <c r="V55">
        <v>95</v>
      </c>
      <c r="W55">
        <v>1</v>
      </c>
      <c r="Y55" t="s">
        <v>6</v>
      </c>
      <c r="Z55">
        <v>99.5</v>
      </c>
      <c r="AA55">
        <v>0</v>
      </c>
      <c r="AC55" t="s">
        <v>6</v>
      </c>
      <c r="AD55">
        <v>100</v>
      </c>
      <c r="AE55">
        <v>1</v>
      </c>
    </row>
    <row r="56" spans="9:31" x14ac:dyDescent="0.2">
      <c r="I56" t="s">
        <v>6</v>
      </c>
      <c r="J56">
        <v>99.8</v>
      </c>
      <c r="K56">
        <v>1</v>
      </c>
      <c r="M56" t="s">
        <v>6</v>
      </c>
      <c r="N56">
        <v>100</v>
      </c>
      <c r="O56">
        <v>1</v>
      </c>
      <c r="Q56" t="s">
        <v>6</v>
      </c>
      <c r="R56">
        <v>91.100000000000009</v>
      </c>
      <c r="S56">
        <v>1</v>
      </c>
      <c r="U56" t="s">
        <v>6</v>
      </c>
      <c r="V56">
        <v>98.3</v>
      </c>
      <c r="W56">
        <v>1</v>
      </c>
      <c r="Y56" t="s">
        <v>6</v>
      </c>
      <c r="Z56">
        <v>99</v>
      </c>
      <c r="AA56">
        <v>1</v>
      </c>
      <c r="AC56" t="s">
        <v>6</v>
      </c>
      <c r="AD56">
        <v>99</v>
      </c>
      <c r="AE56">
        <v>1</v>
      </c>
    </row>
    <row r="57" spans="9:31" x14ac:dyDescent="0.2">
      <c r="I57" t="s">
        <v>6</v>
      </c>
      <c r="J57">
        <v>99.1</v>
      </c>
      <c r="K57">
        <v>1</v>
      </c>
      <c r="M57" t="s">
        <v>6</v>
      </c>
      <c r="N57">
        <v>98.8</v>
      </c>
      <c r="O57">
        <v>1</v>
      </c>
      <c r="Q57" t="s">
        <v>6</v>
      </c>
      <c r="R57">
        <v>75</v>
      </c>
      <c r="S57">
        <v>1</v>
      </c>
      <c r="U57" t="s">
        <v>6</v>
      </c>
      <c r="V57">
        <v>100</v>
      </c>
      <c r="W57">
        <v>1</v>
      </c>
      <c r="Y57" t="s">
        <v>6</v>
      </c>
      <c r="Z57">
        <v>100</v>
      </c>
      <c r="AA57">
        <v>1</v>
      </c>
      <c r="AC57" t="s">
        <v>6</v>
      </c>
      <c r="AD57">
        <v>100</v>
      </c>
      <c r="AE57">
        <v>1</v>
      </c>
    </row>
    <row r="58" spans="9:31" x14ac:dyDescent="0.2">
      <c r="I58" t="s">
        <v>6</v>
      </c>
      <c r="J58">
        <v>96.399999999999991</v>
      </c>
      <c r="K58">
        <v>1</v>
      </c>
      <c r="M58" t="s">
        <v>6</v>
      </c>
      <c r="N58">
        <v>97.3</v>
      </c>
      <c r="O58">
        <v>1</v>
      </c>
      <c r="Q58" t="s">
        <v>6</v>
      </c>
      <c r="R58">
        <v>57.4</v>
      </c>
      <c r="S58">
        <v>1</v>
      </c>
      <c r="U58" t="s">
        <v>6</v>
      </c>
      <c r="V58">
        <v>96.5</v>
      </c>
      <c r="W58">
        <v>1</v>
      </c>
      <c r="Y58" t="s">
        <v>6</v>
      </c>
      <c r="Z58">
        <v>99.4</v>
      </c>
      <c r="AA58">
        <v>1</v>
      </c>
      <c r="AC58" t="s">
        <v>6</v>
      </c>
      <c r="AD58">
        <v>98.7</v>
      </c>
      <c r="AE58">
        <v>1</v>
      </c>
    </row>
    <row r="59" spans="9:31" x14ac:dyDescent="0.2">
      <c r="I59" t="s">
        <v>6</v>
      </c>
      <c r="J59">
        <v>40.6</v>
      </c>
      <c r="K59">
        <v>1</v>
      </c>
      <c r="Q59" t="s">
        <v>6</v>
      </c>
      <c r="R59">
        <v>94.6</v>
      </c>
      <c r="S59">
        <v>1</v>
      </c>
      <c r="U59" t="s">
        <v>6</v>
      </c>
      <c r="V59">
        <v>100</v>
      </c>
      <c r="W59">
        <v>1</v>
      </c>
      <c r="Y59" t="s">
        <v>6</v>
      </c>
      <c r="Z59">
        <v>95.399999999999991</v>
      </c>
      <c r="AA59">
        <v>1</v>
      </c>
      <c r="AC59" t="s">
        <v>6</v>
      </c>
      <c r="AD59">
        <v>100</v>
      </c>
      <c r="AE59">
        <v>1</v>
      </c>
    </row>
    <row r="60" spans="9:31" x14ac:dyDescent="0.2">
      <c r="I60" t="s">
        <v>6</v>
      </c>
      <c r="J60">
        <v>95.399999999999991</v>
      </c>
      <c r="K60">
        <v>1</v>
      </c>
      <c r="Q60" t="s">
        <v>6</v>
      </c>
      <c r="R60">
        <v>73.3</v>
      </c>
      <c r="S60">
        <v>1</v>
      </c>
      <c r="U60" t="s">
        <v>6</v>
      </c>
      <c r="V60">
        <v>98</v>
      </c>
      <c r="W60">
        <v>0</v>
      </c>
      <c r="Y60" t="s">
        <v>6</v>
      </c>
      <c r="Z60">
        <v>96</v>
      </c>
      <c r="AA60">
        <v>1</v>
      </c>
      <c r="AC60" t="s">
        <v>6</v>
      </c>
      <c r="AD60">
        <v>98</v>
      </c>
      <c r="AE60">
        <v>1</v>
      </c>
    </row>
    <row r="61" spans="9:31" x14ac:dyDescent="0.2">
      <c r="I61" t="s">
        <v>6</v>
      </c>
      <c r="J61">
        <v>95.7</v>
      </c>
      <c r="K61">
        <v>1</v>
      </c>
      <c r="Q61" t="s">
        <v>6</v>
      </c>
      <c r="R61">
        <v>72.7</v>
      </c>
      <c r="S61">
        <v>1</v>
      </c>
      <c r="U61" t="s">
        <v>6</v>
      </c>
      <c r="V61">
        <v>96.7</v>
      </c>
      <c r="W61">
        <v>0</v>
      </c>
      <c r="Y61" t="s">
        <v>6</v>
      </c>
      <c r="Z61">
        <v>95.8</v>
      </c>
      <c r="AA61">
        <v>0</v>
      </c>
      <c r="AC61" t="s">
        <v>6</v>
      </c>
      <c r="AD61">
        <v>64.8</v>
      </c>
      <c r="AE61">
        <v>1</v>
      </c>
    </row>
    <row r="62" spans="9:31" x14ac:dyDescent="0.2">
      <c r="Q62" t="s">
        <v>6</v>
      </c>
      <c r="R62">
        <v>95.5</v>
      </c>
      <c r="S62">
        <v>1</v>
      </c>
      <c r="U62" t="s">
        <v>6</v>
      </c>
      <c r="V62">
        <v>97</v>
      </c>
      <c r="W62">
        <v>1</v>
      </c>
      <c r="AC62" t="s">
        <v>6</v>
      </c>
      <c r="AD62">
        <v>92</v>
      </c>
      <c r="AE62">
        <v>1</v>
      </c>
    </row>
    <row r="63" spans="9:31" x14ac:dyDescent="0.2">
      <c r="Q63" t="s">
        <v>6</v>
      </c>
      <c r="R63">
        <v>98.7</v>
      </c>
      <c r="S63">
        <v>1</v>
      </c>
      <c r="U63" t="s">
        <v>6</v>
      </c>
      <c r="V63">
        <v>100</v>
      </c>
      <c r="W63">
        <v>0</v>
      </c>
      <c r="AC63" t="s">
        <v>6</v>
      </c>
      <c r="AD63">
        <v>100</v>
      </c>
      <c r="AE63">
        <v>1</v>
      </c>
    </row>
    <row r="64" spans="9:31" x14ac:dyDescent="0.2">
      <c r="Q64" t="s">
        <v>6</v>
      </c>
      <c r="R64">
        <v>86.4</v>
      </c>
      <c r="S64">
        <v>1</v>
      </c>
      <c r="AC64" t="s">
        <v>6</v>
      </c>
      <c r="AD64">
        <v>98.2</v>
      </c>
      <c r="AE64">
        <v>1</v>
      </c>
    </row>
    <row r="65" spans="29:31" x14ac:dyDescent="0.2">
      <c r="AC65" t="s">
        <v>6</v>
      </c>
      <c r="AD65">
        <v>97.8</v>
      </c>
      <c r="AE65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CECA1-775A-0A49-8FEF-D4E28B171CA0}">
  <dimension ref="A1:AG89"/>
  <sheetViews>
    <sheetView tabSelected="1" topLeftCell="E1" workbookViewId="0">
      <selection activeCell="A2" sqref="A2"/>
    </sheetView>
  </sheetViews>
  <sheetFormatPr baseColWidth="10" defaultRowHeight="16" x14ac:dyDescent="0.2"/>
  <cols>
    <col min="7" max="7" width="12.83203125" customWidth="1"/>
    <col min="8" max="8" width="16.33203125" customWidth="1"/>
    <col min="13" max="13" width="18.33203125" customWidth="1"/>
    <col min="14" max="14" width="16.1640625" customWidth="1"/>
    <col min="18" max="18" width="15.6640625" customWidth="1"/>
    <col min="19" max="19" width="16" customWidth="1"/>
  </cols>
  <sheetData>
    <row r="1" spans="1:33" x14ac:dyDescent="0.2">
      <c r="A1" t="s">
        <v>71</v>
      </c>
      <c r="G1" t="s">
        <v>17</v>
      </c>
      <c r="H1" t="s">
        <v>61</v>
      </c>
      <c r="I1" t="s">
        <v>62</v>
      </c>
      <c r="L1" t="s">
        <v>17</v>
      </c>
      <c r="M1" t="s">
        <v>61</v>
      </c>
      <c r="N1" t="s">
        <v>62</v>
      </c>
      <c r="Q1" t="s">
        <v>17</v>
      </c>
      <c r="R1" t="s">
        <v>61</v>
      </c>
      <c r="S1" t="s">
        <v>62</v>
      </c>
    </row>
    <row r="2" spans="1:33" x14ac:dyDescent="0.2">
      <c r="B2" t="s">
        <v>0</v>
      </c>
      <c r="C2" t="s">
        <v>1</v>
      </c>
      <c r="G2" t="s">
        <v>6</v>
      </c>
      <c r="H2">
        <v>13.5863714361103</v>
      </c>
      <c r="I2">
        <v>3435.1654286130201</v>
      </c>
      <c r="L2" t="s">
        <v>6</v>
      </c>
      <c r="M2">
        <v>8.7392313021433399</v>
      </c>
      <c r="N2">
        <v>566.03452501611503</v>
      </c>
      <c r="Q2" t="s">
        <v>25</v>
      </c>
      <c r="R2">
        <v>11.686110857498599</v>
      </c>
      <c r="S2">
        <v>2817.75495522042</v>
      </c>
    </row>
    <row r="3" spans="1:33" x14ac:dyDescent="0.2">
      <c r="A3" s="1" t="s">
        <v>2</v>
      </c>
      <c r="B3" s="1" t="s">
        <v>3</v>
      </c>
      <c r="C3" s="1" t="s">
        <v>4</v>
      </c>
      <c r="G3" t="s">
        <v>6</v>
      </c>
      <c r="H3">
        <v>10.499436591983301</v>
      </c>
      <c r="I3">
        <v>2505.8589010073902</v>
      </c>
      <c r="L3" t="s">
        <v>6</v>
      </c>
      <c r="M3">
        <v>10.167485858561299</v>
      </c>
      <c r="N3">
        <v>1332.1379147617399</v>
      </c>
      <c r="Q3" t="s">
        <v>25</v>
      </c>
      <c r="R3">
        <v>13.1104881000317</v>
      </c>
      <c r="S3">
        <v>3285.5372529341298</v>
      </c>
    </row>
    <row r="4" spans="1:33" x14ac:dyDescent="0.2">
      <c r="G4" t="s">
        <v>6</v>
      </c>
      <c r="H4">
        <v>13.973269378379101</v>
      </c>
      <c r="I4">
        <v>3182.1077791477101</v>
      </c>
      <c r="L4" t="s">
        <v>6</v>
      </c>
      <c r="M4">
        <v>11.8407950322923</v>
      </c>
      <c r="N4">
        <v>2197.28346102661</v>
      </c>
      <c r="Q4" t="s">
        <v>25</v>
      </c>
      <c r="R4">
        <v>14.926833673565399</v>
      </c>
      <c r="S4">
        <v>3562.2158200204299</v>
      </c>
    </row>
    <row r="5" spans="1:33" x14ac:dyDescent="0.2">
      <c r="G5" t="s">
        <v>6</v>
      </c>
      <c r="H5">
        <v>12.8806526674786</v>
      </c>
      <c r="I5">
        <v>3083.0456352269698</v>
      </c>
      <c r="L5" t="s">
        <v>6</v>
      </c>
      <c r="M5">
        <v>11.541970010595699</v>
      </c>
      <c r="N5">
        <v>2398.5440735970101</v>
      </c>
      <c r="Q5" t="s">
        <v>25</v>
      </c>
      <c r="R5">
        <v>13.502817550853701</v>
      </c>
      <c r="S5">
        <v>3028.7061141884201</v>
      </c>
    </row>
    <row r="6" spans="1:33" x14ac:dyDescent="0.2">
      <c r="A6" t="s">
        <v>7</v>
      </c>
      <c r="B6" s="4" t="s">
        <v>70</v>
      </c>
      <c r="C6" s="4"/>
      <c r="D6" s="4"/>
      <c r="E6" s="4"/>
      <c r="F6" s="4"/>
      <c r="G6" t="s">
        <v>6</v>
      </c>
      <c r="H6">
        <v>15.0586634946639</v>
      </c>
      <c r="I6">
        <v>3689.00158031091</v>
      </c>
      <c r="L6" t="s">
        <v>6</v>
      </c>
      <c r="M6">
        <v>14.9616481580829</v>
      </c>
      <c r="N6">
        <v>3674.7374167251</v>
      </c>
      <c r="Q6" t="s">
        <v>25</v>
      </c>
      <c r="R6">
        <v>13.946936274379899</v>
      </c>
      <c r="S6">
        <v>3695.0204980384201</v>
      </c>
    </row>
    <row r="7" spans="1:33" x14ac:dyDescent="0.2">
      <c r="G7" t="s">
        <v>6</v>
      </c>
      <c r="H7">
        <v>14.1848198159585</v>
      </c>
      <c r="I7">
        <v>3551.2842143780199</v>
      </c>
      <c r="L7" t="s">
        <v>6</v>
      </c>
      <c r="M7">
        <v>9.7895194132517194</v>
      </c>
      <c r="N7">
        <v>1572.2090395007899</v>
      </c>
      <c r="Q7" t="s">
        <v>25</v>
      </c>
      <c r="R7">
        <v>13.5642320404075</v>
      </c>
      <c r="S7">
        <v>3506.05157264431</v>
      </c>
    </row>
    <row r="8" spans="1:33" x14ac:dyDescent="0.2">
      <c r="A8" t="s">
        <v>9</v>
      </c>
      <c r="B8" t="s">
        <v>10</v>
      </c>
      <c r="G8" t="s">
        <v>6</v>
      </c>
      <c r="H8">
        <v>15.76477755788</v>
      </c>
      <c r="I8">
        <v>4058.8202229273002</v>
      </c>
      <c r="L8" t="s">
        <v>6</v>
      </c>
      <c r="M8">
        <v>12.6373908097321</v>
      </c>
      <c r="N8">
        <v>2984.46470778393</v>
      </c>
      <c r="Q8" t="s">
        <v>25</v>
      </c>
      <c r="R8">
        <v>13.5397572718772</v>
      </c>
      <c r="S8">
        <v>2244.6390498449</v>
      </c>
    </row>
    <row r="9" spans="1:33" x14ac:dyDescent="0.2">
      <c r="A9" t="s">
        <v>11</v>
      </c>
      <c r="B9" t="s">
        <v>12</v>
      </c>
      <c r="G9" t="s">
        <v>6</v>
      </c>
      <c r="H9">
        <v>15.686909417590901</v>
      </c>
      <c r="I9">
        <v>4296.4443591224399</v>
      </c>
      <c r="L9" t="s">
        <v>6</v>
      </c>
      <c r="M9">
        <v>8.4007121813158392</v>
      </c>
      <c r="N9">
        <v>763.743161017994</v>
      </c>
      <c r="Q9" t="s">
        <v>25</v>
      </c>
      <c r="R9">
        <v>14.7026230522386</v>
      </c>
      <c r="S9">
        <v>3884.7509238706102</v>
      </c>
    </row>
    <row r="10" spans="1:33" x14ac:dyDescent="0.2">
      <c r="G10" t="s">
        <v>6</v>
      </c>
      <c r="H10">
        <v>14.3230596406448</v>
      </c>
      <c r="I10">
        <v>3725.0368090776001</v>
      </c>
      <c r="L10" t="s">
        <v>6</v>
      </c>
      <c r="M10">
        <v>10.5489945384207</v>
      </c>
      <c r="N10">
        <v>1302.73393091209</v>
      </c>
      <c r="Q10" t="s">
        <v>25</v>
      </c>
      <c r="R10">
        <v>20.492702348995898</v>
      </c>
      <c r="S10">
        <v>5511.5846338217698</v>
      </c>
    </row>
    <row r="11" spans="1:33" x14ac:dyDescent="0.2">
      <c r="G11" t="s">
        <v>6</v>
      </c>
      <c r="H11">
        <v>13.991587568923</v>
      </c>
      <c r="I11">
        <v>3522.0260065601101</v>
      </c>
      <c r="L11" t="s">
        <v>6</v>
      </c>
      <c r="M11">
        <v>10.5456064800552</v>
      </c>
      <c r="N11">
        <v>2231.9150987633502</v>
      </c>
      <c r="Q11" t="s">
        <v>25</v>
      </c>
      <c r="R11">
        <v>12.5979312279516</v>
      </c>
      <c r="S11">
        <v>2936.1700719801802</v>
      </c>
    </row>
    <row r="12" spans="1:33" x14ac:dyDescent="0.2">
      <c r="G12" t="s">
        <v>6</v>
      </c>
      <c r="H12">
        <v>16.095684204592501</v>
      </c>
      <c r="I12">
        <v>3920.5868341556702</v>
      </c>
      <c r="L12" t="s">
        <v>6</v>
      </c>
      <c r="M12">
        <v>13.421208217831399</v>
      </c>
      <c r="N12">
        <v>2815.8546907186501</v>
      </c>
      <c r="Q12" t="s">
        <v>25</v>
      </c>
      <c r="R12">
        <v>13.6860812904486</v>
      </c>
      <c r="S12">
        <v>3417.6539234838601</v>
      </c>
    </row>
    <row r="13" spans="1:33" x14ac:dyDescent="0.2">
      <c r="G13" t="s">
        <v>6</v>
      </c>
      <c r="H13">
        <v>16.275539015850502</v>
      </c>
      <c r="I13">
        <v>4402.1004652400197</v>
      </c>
      <c r="L13" t="s">
        <v>6</v>
      </c>
      <c r="M13">
        <v>12.658091583475301</v>
      </c>
      <c r="N13">
        <v>2847.31056561074</v>
      </c>
      <c r="Q13" t="s">
        <v>25</v>
      </c>
      <c r="R13">
        <v>10.149003013959801</v>
      </c>
      <c r="S13">
        <v>1877.0540272733101</v>
      </c>
      <c r="AE13" s="4"/>
      <c r="AF13" s="4"/>
      <c r="AG13" s="4"/>
    </row>
    <row r="14" spans="1:33" x14ac:dyDescent="0.2">
      <c r="G14" t="s">
        <v>6</v>
      </c>
      <c r="H14">
        <v>14.226544961479799</v>
      </c>
      <c r="I14">
        <v>3667.8492251113998</v>
      </c>
      <c r="L14" t="s">
        <v>6</v>
      </c>
      <c r="M14">
        <v>12.673965811922301</v>
      </c>
      <c r="N14">
        <v>3047.23310504447</v>
      </c>
      <c r="Q14" t="s">
        <v>25</v>
      </c>
      <c r="R14">
        <v>11.361230171338599</v>
      </c>
      <c r="S14">
        <v>2204.0808815379401</v>
      </c>
    </row>
    <row r="15" spans="1:33" x14ac:dyDescent="0.2">
      <c r="G15" t="s">
        <v>6</v>
      </c>
      <c r="H15">
        <v>16.098596650736301</v>
      </c>
      <c r="I15">
        <v>4400.1742407555503</v>
      </c>
      <c r="L15" t="s">
        <v>6</v>
      </c>
      <c r="M15">
        <v>10.9969548706053</v>
      </c>
      <c r="N15">
        <v>2023.4903495995</v>
      </c>
      <c r="Q15" t="s">
        <v>25</v>
      </c>
      <c r="R15">
        <v>14.0239091949372</v>
      </c>
      <c r="S15">
        <v>2948.5039239862099</v>
      </c>
    </row>
    <row r="16" spans="1:33" x14ac:dyDescent="0.2">
      <c r="G16" t="s">
        <v>6</v>
      </c>
      <c r="H16">
        <v>19.915081325971201</v>
      </c>
      <c r="I16">
        <v>5580.0121398888396</v>
      </c>
      <c r="L16" t="s">
        <v>6</v>
      </c>
      <c r="M16">
        <v>13.3720825213561</v>
      </c>
      <c r="N16">
        <v>3286.63867389609</v>
      </c>
      <c r="Q16" t="s">
        <v>25</v>
      </c>
      <c r="R16">
        <v>18.099695263512601</v>
      </c>
      <c r="S16">
        <v>5074.5052460247098</v>
      </c>
    </row>
    <row r="17" spans="7:19" x14ac:dyDescent="0.2">
      <c r="G17" t="s">
        <v>6</v>
      </c>
      <c r="H17">
        <v>13.0291616633657</v>
      </c>
      <c r="I17">
        <v>3222.9332349741999</v>
      </c>
      <c r="L17" t="s">
        <v>6</v>
      </c>
      <c r="M17">
        <v>12.0668285967119</v>
      </c>
      <c r="N17">
        <v>2294.6529363937502</v>
      </c>
      <c r="Q17" t="s">
        <v>25</v>
      </c>
      <c r="R17">
        <v>11.4023234481333</v>
      </c>
      <c r="S17">
        <v>2693.9349483687101</v>
      </c>
    </row>
    <row r="18" spans="7:19" x14ac:dyDescent="0.2">
      <c r="G18" t="s">
        <v>6</v>
      </c>
      <c r="H18">
        <v>14.273880683043799</v>
      </c>
      <c r="I18">
        <v>3777.2849042463099</v>
      </c>
      <c r="L18" t="s">
        <v>6</v>
      </c>
      <c r="M18">
        <v>13.9843020806253</v>
      </c>
      <c r="N18">
        <v>3715.6449392535701</v>
      </c>
      <c r="Q18" t="s">
        <v>25</v>
      </c>
      <c r="R18">
        <v>13.090815143853099</v>
      </c>
      <c r="S18">
        <v>3350.2811596475899</v>
      </c>
    </row>
    <row r="19" spans="7:19" x14ac:dyDescent="0.2">
      <c r="G19" t="s">
        <v>6</v>
      </c>
      <c r="H19">
        <v>11.0393152623465</v>
      </c>
      <c r="I19">
        <v>2728.6075081742101</v>
      </c>
      <c r="L19" t="s">
        <v>6</v>
      </c>
      <c r="M19">
        <v>11.7050495344368</v>
      </c>
      <c r="N19">
        <v>2674.3573945691401</v>
      </c>
      <c r="Q19" t="s">
        <v>25</v>
      </c>
      <c r="R19">
        <v>13.1181854752323</v>
      </c>
      <c r="S19">
        <v>3409.2116873289801</v>
      </c>
    </row>
    <row r="20" spans="7:19" x14ac:dyDescent="0.2">
      <c r="G20" t="s">
        <v>6</v>
      </c>
      <c r="H20">
        <v>12.091575877997901</v>
      </c>
      <c r="I20">
        <v>3005.8921888259501</v>
      </c>
      <c r="L20" t="s">
        <v>6</v>
      </c>
      <c r="M20">
        <v>14.554685333696099</v>
      </c>
      <c r="N20">
        <v>3653.4674154669001</v>
      </c>
      <c r="Q20" t="s">
        <v>25</v>
      </c>
      <c r="R20">
        <v>13.2991941060715</v>
      </c>
      <c r="S20">
        <v>3416.2419649284202</v>
      </c>
    </row>
    <row r="21" spans="7:19" x14ac:dyDescent="0.2">
      <c r="G21" t="s">
        <v>6</v>
      </c>
      <c r="H21">
        <v>11.5041541230493</v>
      </c>
      <c r="I21">
        <v>2636.4491940703401</v>
      </c>
      <c r="L21" t="s">
        <v>6</v>
      </c>
      <c r="M21">
        <v>13.009999468018</v>
      </c>
      <c r="N21">
        <v>3060.2272957733098</v>
      </c>
      <c r="Q21" t="s">
        <v>25</v>
      </c>
      <c r="R21">
        <v>15.5125378811143</v>
      </c>
      <c r="S21">
        <v>4033.00162106688</v>
      </c>
    </row>
    <row r="22" spans="7:19" x14ac:dyDescent="0.2">
      <c r="G22" t="s">
        <v>6</v>
      </c>
      <c r="H22">
        <v>14.5304775406721</v>
      </c>
      <c r="I22">
        <v>3488.8541934048799</v>
      </c>
      <c r="L22" t="s">
        <v>6</v>
      </c>
      <c r="M22">
        <v>12.9715434906156</v>
      </c>
      <c r="N22">
        <v>3068.1357362406602</v>
      </c>
      <c r="Q22" t="s">
        <v>25</v>
      </c>
      <c r="R22">
        <v>14.095172421893899</v>
      </c>
      <c r="S22">
        <v>3577.4138743404501</v>
      </c>
    </row>
    <row r="23" spans="7:19" x14ac:dyDescent="0.2">
      <c r="G23" t="s">
        <v>6</v>
      </c>
      <c r="H23">
        <v>11.690762872991201</v>
      </c>
      <c r="I23">
        <v>3111.1194520245699</v>
      </c>
      <c r="L23" t="s">
        <v>6</v>
      </c>
      <c r="M23">
        <v>12.8946073891707</v>
      </c>
      <c r="N23">
        <v>3014.7159418884798</v>
      </c>
      <c r="Q23" t="s">
        <v>25</v>
      </c>
      <c r="R23">
        <v>15.4838367021413</v>
      </c>
      <c r="S23">
        <v>4139.4115195699897</v>
      </c>
    </row>
    <row r="24" spans="7:19" x14ac:dyDescent="0.2">
      <c r="G24" t="s">
        <v>6</v>
      </c>
      <c r="H24">
        <v>13.2581525334221</v>
      </c>
      <c r="I24">
        <v>2653.49309454898</v>
      </c>
      <c r="L24" t="s">
        <v>6</v>
      </c>
      <c r="M24">
        <v>11.7165666285801</v>
      </c>
      <c r="N24">
        <v>2691.8868343825902</v>
      </c>
      <c r="Q24" t="s">
        <v>25</v>
      </c>
      <c r="R24">
        <v>14.140715496829699</v>
      </c>
      <c r="S24">
        <v>3612.7295945099199</v>
      </c>
    </row>
    <row r="25" spans="7:19" x14ac:dyDescent="0.2">
      <c r="G25" t="s">
        <v>6</v>
      </c>
      <c r="H25">
        <v>14.2803935687039</v>
      </c>
      <c r="I25">
        <v>3726.3626882028502</v>
      </c>
      <c r="L25" t="s">
        <v>6</v>
      </c>
      <c r="M25">
        <v>14.143251585232299</v>
      </c>
      <c r="N25">
        <v>3176.0896997415498</v>
      </c>
      <c r="Q25" t="s">
        <v>25</v>
      </c>
      <c r="R25">
        <v>10.1162374823321</v>
      </c>
      <c r="S25">
        <v>2025.0828274420201</v>
      </c>
    </row>
    <row r="26" spans="7:19" x14ac:dyDescent="0.2">
      <c r="G26" t="s">
        <v>6</v>
      </c>
      <c r="H26">
        <v>11.4441678849363</v>
      </c>
      <c r="I26">
        <v>2895.1441396380701</v>
      </c>
      <c r="L26" t="s">
        <v>19</v>
      </c>
      <c r="M26">
        <v>13.0517474702906</v>
      </c>
      <c r="N26">
        <v>3239.0814592696302</v>
      </c>
      <c r="Q26" t="s">
        <v>19</v>
      </c>
      <c r="R26">
        <v>17.975162162071001</v>
      </c>
      <c r="S26">
        <v>5043.7465534231396</v>
      </c>
    </row>
    <row r="27" spans="7:19" x14ac:dyDescent="0.2">
      <c r="G27" t="s">
        <v>6</v>
      </c>
      <c r="H27">
        <v>12.45152180951</v>
      </c>
      <c r="I27">
        <v>3231.62558478451</v>
      </c>
      <c r="L27" t="s">
        <v>19</v>
      </c>
      <c r="M27">
        <v>13.77350623513</v>
      </c>
      <c r="N27">
        <v>3164.6221758075999</v>
      </c>
      <c r="Q27" t="s">
        <v>19</v>
      </c>
      <c r="R27">
        <v>12.687000422379301</v>
      </c>
      <c r="S27">
        <v>2756.9713538043902</v>
      </c>
    </row>
    <row r="28" spans="7:19" x14ac:dyDescent="0.2">
      <c r="G28" t="s">
        <v>6</v>
      </c>
      <c r="H28">
        <v>11.4140940464012</v>
      </c>
      <c r="I28">
        <v>2665.4306929087302</v>
      </c>
      <c r="L28" t="s">
        <v>19</v>
      </c>
      <c r="M28">
        <v>14.5473542673873</v>
      </c>
      <c r="N28">
        <v>3898.2308330677502</v>
      </c>
      <c r="Q28" t="s">
        <v>19</v>
      </c>
      <c r="R28">
        <v>14.3772758152497</v>
      </c>
      <c r="S28">
        <v>3369.60226754634</v>
      </c>
    </row>
    <row r="29" spans="7:19" x14ac:dyDescent="0.2">
      <c r="G29" t="s">
        <v>6</v>
      </c>
      <c r="H29">
        <v>11.9601668327137</v>
      </c>
      <c r="I29">
        <v>2521.2369452778198</v>
      </c>
      <c r="L29" t="s">
        <v>19</v>
      </c>
      <c r="M29">
        <v>14.981540397681099</v>
      </c>
      <c r="N29">
        <v>3926.3594665823098</v>
      </c>
      <c r="Q29" t="s">
        <v>19</v>
      </c>
      <c r="R29">
        <v>16.050738817323801</v>
      </c>
      <c r="S29">
        <v>4179.4178700827197</v>
      </c>
    </row>
    <row r="30" spans="7:19" x14ac:dyDescent="0.2">
      <c r="G30" t="s">
        <v>6</v>
      </c>
      <c r="H30">
        <v>15.818761707296</v>
      </c>
      <c r="I30">
        <v>4132.1251340935496</v>
      </c>
      <c r="L30" t="s">
        <v>19</v>
      </c>
      <c r="M30">
        <v>15.0819322640726</v>
      </c>
      <c r="N30">
        <v>4174.5359832303202</v>
      </c>
      <c r="Q30" t="s">
        <v>19</v>
      </c>
      <c r="R30">
        <v>16.041211844289201</v>
      </c>
      <c r="S30">
        <v>4287.0089957932296</v>
      </c>
    </row>
    <row r="31" spans="7:19" x14ac:dyDescent="0.2">
      <c r="G31" t="s">
        <v>6</v>
      </c>
      <c r="H31">
        <v>14.202787207829999</v>
      </c>
      <c r="I31">
        <v>3847.3078486234699</v>
      </c>
      <c r="L31" t="s">
        <v>19</v>
      </c>
      <c r="M31">
        <v>13.2667826666066</v>
      </c>
      <c r="N31">
        <v>3224.8031842161599</v>
      </c>
      <c r="Q31" t="s">
        <v>19</v>
      </c>
      <c r="R31">
        <v>14.2569538262564</v>
      </c>
      <c r="S31">
        <v>3605.7105035263498</v>
      </c>
    </row>
    <row r="32" spans="7:19" x14ac:dyDescent="0.2">
      <c r="G32" t="s">
        <v>6</v>
      </c>
      <c r="H32">
        <v>12.270301963171301</v>
      </c>
      <c r="I32">
        <v>2997.1684848156001</v>
      </c>
      <c r="L32" t="s">
        <v>19</v>
      </c>
      <c r="M32">
        <v>11.3633874169715</v>
      </c>
      <c r="N32">
        <v>2245.1295274649001</v>
      </c>
      <c r="Q32" t="s">
        <v>19</v>
      </c>
      <c r="R32">
        <v>11.191347336610001</v>
      </c>
      <c r="S32">
        <v>2643.8231665387698</v>
      </c>
    </row>
    <row r="33" spans="7:19" x14ac:dyDescent="0.2">
      <c r="G33" t="s">
        <v>6</v>
      </c>
      <c r="H33">
        <v>14.306155607362699</v>
      </c>
      <c r="I33">
        <v>3278.7060954919398</v>
      </c>
      <c r="L33" t="s">
        <v>19</v>
      </c>
      <c r="M33">
        <v>14.412199312649401</v>
      </c>
      <c r="N33">
        <v>3584.78063299934</v>
      </c>
      <c r="Q33" t="s">
        <v>19</v>
      </c>
      <c r="R33">
        <v>12.8743586548528</v>
      </c>
      <c r="S33">
        <v>3228.4560045804601</v>
      </c>
    </row>
    <row r="34" spans="7:19" x14ac:dyDescent="0.2">
      <c r="G34" t="s">
        <v>6</v>
      </c>
      <c r="H34">
        <v>12.8392354460183</v>
      </c>
      <c r="I34">
        <v>3293.3562608891998</v>
      </c>
      <c r="L34" t="s">
        <v>19</v>
      </c>
      <c r="M34">
        <v>14.088921913914101</v>
      </c>
      <c r="N34">
        <v>3586.96566141842</v>
      </c>
      <c r="Q34" t="s">
        <v>19</v>
      </c>
      <c r="R34">
        <v>12.807795760214301</v>
      </c>
      <c r="S34">
        <v>2923.3683300928301</v>
      </c>
    </row>
    <row r="35" spans="7:19" x14ac:dyDescent="0.2">
      <c r="G35" t="s">
        <v>6</v>
      </c>
      <c r="H35">
        <v>12.857080075859001</v>
      </c>
      <c r="I35">
        <v>2976.5635784792498</v>
      </c>
      <c r="L35" t="s">
        <v>19</v>
      </c>
      <c r="M35">
        <v>11.1017991652625</v>
      </c>
      <c r="N35">
        <v>1574.07216144627</v>
      </c>
      <c r="Q35" t="s">
        <v>19</v>
      </c>
      <c r="R35">
        <v>11.985217129283001</v>
      </c>
      <c r="S35">
        <v>2981.3146658328401</v>
      </c>
    </row>
    <row r="36" spans="7:19" x14ac:dyDescent="0.2">
      <c r="G36" t="s">
        <v>6</v>
      </c>
      <c r="H36">
        <v>13.643476658342101</v>
      </c>
      <c r="I36">
        <v>3372.77874620496</v>
      </c>
      <c r="L36" t="s">
        <v>19</v>
      </c>
      <c r="M36">
        <v>12.877327666863099</v>
      </c>
      <c r="N36">
        <v>3264.0548566297998</v>
      </c>
      <c r="Q36" t="s">
        <v>19</v>
      </c>
      <c r="R36">
        <v>12.935502265164301</v>
      </c>
      <c r="S36">
        <v>3072.1141959827501</v>
      </c>
    </row>
    <row r="37" spans="7:19" x14ac:dyDescent="0.2">
      <c r="G37" t="s">
        <v>6</v>
      </c>
      <c r="H37">
        <v>11.8936001461659</v>
      </c>
      <c r="I37">
        <v>2529.8477955031899</v>
      </c>
      <c r="L37" t="s">
        <v>19</v>
      </c>
      <c r="M37">
        <v>15.267811125146199</v>
      </c>
      <c r="N37">
        <v>4078.2096712530301</v>
      </c>
      <c r="Q37" t="s">
        <v>19</v>
      </c>
      <c r="R37">
        <v>15.7418202410918</v>
      </c>
      <c r="S37">
        <v>4048.3178703541298</v>
      </c>
    </row>
    <row r="38" spans="7:19" x14ac:dyDescent="0.2">
      <c r="G38" t="s">
        <v>19</v>
      </c>
      <c r="H38">
        <v>11.5608312043317</v>
      </c>
      <c r="I38">
        <v>921.88007683037995</v>
      </c>
      <c r="L38" t="s">
        <v>19</v>
      </c>
      <c r="M38">
        <v>15.6233409100555</v>
      </c>
      <c r="N38">
        <v>4280.1991796777002</v>
      </c>
      <c r="Q38" t="s">
        <v>19</v>
      </c>
      <c r="R38">
        <v>13.3279152417453</v>
      </c>
      <c r="S38">
        <v>3268.9508895772501</v>
      </c>
    </row>
    <row r="39" spans="7:19" x14ac:dyDescent="0.2">
      <c r="G39" t="s">
        <v>19</v>
      </c>
      <c r="H39">
        <v>15.054991660450099</v>
      </c>
      <c r="I39">
        <v>4109.9690416945796</v>
      </c>
      <c r="L39" t="s">
        <v>19</v>
      </c>
      <c r="M39">
        <v>14.5479842569823</v>
      </c>
      <c r="N39">
        <v>3838.9966495827598</v>
      </c>
      <c r="Q39" t="s">
        <v>19</v>
      </c>
      <c r="R39">
        <v>14.119986420716</v>
      </c>
      <c r="S39">
        <v>3681.7175673172801</v>
      </c>
    </row>
    <row r="40" spans="7:19" x14ac:dyDescent="0.2">
      <c r="G40" t="s">
        <v>19</v>
      </c>
      <c r="H40">
        <v>12.152247085597599</v>
      </c>
      <c r="I40">
        <v>3066.4022036659499</v>
      </c>
      <c r="L40" t="s">
        <v>19</v>
      </c>
      <c r="M40">
        <v>10.919761940536199</v>
      </c>
      <c r="N40">
        <v>2590.3543064149299</v>
      </c>
      <c r="Q40" t="s">
        <v>19</v>
      </c>
      <c r="R40">
        <v>15.0015844034104</v>
      </c>
      <c r="S40">
        <v>3694.59421883</v>
      </c>
    </row>
    <row r="41" spans="7:19" x14ac:dyDescent="0.2">
      <c r="G41" t="s">
        <v>19</v>
      </c>
      <c r="H41">
        <v>10.6053660074181</v>
      </c>
      <c r="I41">
        <v>2150.6034005966699</v>
      </c>
      <c r="L41" t="s">
        <v>19</v>
      </c>
      <c r="M41">
        <v>15.213958959389499</v>
      </c>
      <c r="N41">
        <v>3931.4413054947699</v>
      </c>
      <c r="Q41" t="s">
        <v>19</v>
      </c>
      <c r="R41">
        <v>14.6189466992147</v>
      </c>
      <c r="S41">
        <v>3701.2136344635601</v>
      </c>
    </row>
    <row r="42" spans="7:19" x14ac:dyDescent="0.2">
      <c r="G42" t="s">
        <v>19</v>
      </c>
      <c r="H42">
        <v>11.8640297210958</v>
      </c>
      <c r="I42">
        <v>2198.98704151211</v>
      </c>
      <c r="L42" t="s">
        <v>19</v>
      </c>
      <c r="M42">
        <v>13.8924214140752</v>
      </c>
      <c r="N42">
        <v>3515.1136579221902</v>
      </c>
      <c r="Q42" t="s">
        <v>19</v>
      </c>
      <c r="R42">
        <v>13.065727181635101</v>
      </c>
      <c r="S42">
        <v>3597.0677165308998</v>
      </c>
    </row>
    <row r="43" spans="7:19" x14ac:dyDescent="0.2">
      <c r="G43" t="s">
        <v>19</v>
      </c>
      <c r="H43">
        <v>14.415258783293099</v>
      </c>
      <c r="I43">
        <v>3868.5691950471901</v>
      </c>
      <c r="L43" t="s">
        <v>19</v>
      </c>
      <c r="M43">
        <v>15.046058131105999</v>
      </c>
      <c r="N43">
        <v>3779.30204852002</v>
      </c>
      <c r="Q43" t="s">
        <v>19</v>
      </c>
      <c r="R43">
        <v>15.686631835603499</v>
      </c>
      <c r="S43">
        <v>3674.8014209143198</v>
      </c>
    </row>
    <row r="44" spans="7:19" x14ac:dyDescent="0.2">
      <c r="G44" t="s">
        <v>19</v>
      </c>
      <c r="H44">
        <v>12.279970287802399</v>
      </c>
      <c r="I44">
        <v>3105.13861550819</v>
      </c>
      <c r="L44" t="s">
        <v>19</v>
      </c>
      <c r="M44">
        <v>15.957688507912399</v>
      </c>
      <c r="N44">
        <v>4466.9758764358403</v>
      </c>
      <c r="Q44" t="s">
        <v>19</v>
      </c>
      <c r="R44">
        <v>13.523423995017501</v>
      </c>
      <c r="S44">
        <v>3386.7916784281201</v>
      </c>
    </row>
    <row r="45" spans="7:19" x14ac:dyDescent="0.2">
      <c r="G45" t="s">
        <v>19</v>
      </c>
      <c r="H45">
        <v>14.562557573661</v>
      </c>
      <c r="I45">
        <v>3753.25257187739</v>
      </c>
      <c r="L45" t="s">
        <v>19</v>
      </c>
      <c r="M45">
        <v>16.842098874870501</v>
      </c>
      <c r="N45">
        <v>3994.7522250019201</v>
      </c>
      <c r="Q45" t="s">
        <v>19</v>
      </c>
      <c r="R45">
        <v>11.63249440419</v>
      </c>
      <c r="S45">
        <v>2951.0770151155898</v>
      </c>
    </row>
    <row r="46" spans="7:19" x14ac:dyDescent="0.2">
      <c r="G46" t="s">
        <v>19</v>
      </c>
      <c r="H46">
        <v>12.8852694987132</v>
      </c>
      <c r="I46">
        <v>3466.68042410513</v>
      </c>
      <c r="L46" t="s">
        <v>19</v>
      </c>
      <c r="M46">
        <v>13.4437295067251</v>
      </c>
      <c r="N46">
        <v>1564.5315732521201</v>
      </c>
      <c r="Q46" t="s">
        <v>19</v>
      </c>
      <c r="R46">
        <v>18.167130934080198</v>
      </c>
      <c r="S46">
        <v>4996.3078118462699</v>
      </c>
    </row>
    <row r="47" spans="7:19" x14ac:dyDescent="0.2">
      <c r="G47" t="s">
        <v>19</v>
      </c>
      <c r="H47">
        <v>14.367581013464701</v>
      </c>
      <c r="I47">
        <v>3738.12852135505</v>
      </c>
      <c r="L47" t="s">
        <v>19</v>
      </c>
      <c r="M47">
        <v>8.8430183506569104</v>
      </c>
      <c r="N47">
        <v>1438.9782063258899</v>
      </c>
      <c r="Q47" t="s">
        <v>19</v>
      </c>
      <c r="R47">
        <v>12.682972682988</v>
      </c>
      <c r="S47">
        <v>3190.1302652187501</v>
      </c>
    </row>
    <row r="48" spans="7:19" x14ac:dyDescent="0.2">
      <c r="G48" t="s">
        <v>19</v>
      </c>
      <c r="H48">
        <v>14.8944015644615</v>
      </c>
      <c r="I48">
        <v>4144.5258093789598</v>
      </c>
      <c r="L48" t="s">
        <v>19</v>
      </c>
      <c r="M48">
        <v>15.613121863850401</v>
      </c>
      <c r="N48">
        <v>3986.0719857018398</v>
      </c>
      <c r="Q48" t="s">
        <v>19</v>
      </c>
      <c r="R48">
        <v>8.7712807675561208</v>
      </c>
      <c r="S48">
        <v>2038.2412799905901</v>
      </c>
    </row>
    <row r="49" spans="7:19" x14ac:dyDescent="0.2">
      <c r="G49" t="s">
        <v>19</v>
      </c>
      <c r="H49">
        <v>10.9363203672391</v>
      </c>
      <c r="I49">
        <v>2441.2800669084099</v>
      </c>
      <c r="L49" t="s">
        <v>19</v>
      </c>
      <c r="M49">
        <v>7.0923368566053204</v>
      </c>
      <c r="N49">
        <v>315.94928535447201</v>
      </c>
      <c r="Q49" t="s">
        <v>19</v>
      </c>
      <c r="R49">
        <v>15.721237616401501</v>
      </c>
      <c r="S49">
        <v>3881.5553214165202</v>
      </c>
    </row>
    <row r="50" spans="7:19" x14ac:dyDescent="0.2">
      <c r="G50" t="s">
        <v>19</v>
      </c>
      <c r="H50">
        <v>12.1530982438185</v>
      </c>
      <c r="I50">
        <v>3171.61631070782</v>
      </c>
      <c r="L50" t="s">
        <v>19</v>
      </c>
      <c r="M50">
        <v>10.7087654402618</v>
      </c>
      <c r="N50">
        <v>640.95958494092304</v>
      </c>
      <c r="Q50" t="s">
        <v>6</v>
      </c>
      <c r="R50">
        <v>13.2652810850193</v>
      </c>
      <c r="S50">
        <v>2942.7030797950802</v>
      </c>
    </row>
    <row r="51" spans="7:19" x14ac:dyDescent="0.2">
      <c r="G51" t="s">
        <v>19</v>
      </c>
      <c r="H51">
        <v>13.4848452391852</v>
      </c>
      <c r="I51">
        <v>3344.7829469373701</v>
      </c>
      <c r="L51" t="s">
        <v>19</v>
      </c>
      <c r="M51">
        <v>13.0805438434735</v>
      </c>
      <c r="N51">
        <v>2658.808310803</v>
      </c>
      <c r="Q51" t="s">
        <v>6</v>
      </c>
      <c r="R51">
        <v>14.0484063568052</v>
      </c>
      <c r="S51">
        <v>3644.49916229973</v>
      </c>
    </row>
    <row r="52" spans="7:19" x14ac:dyDescent="0.2">
      <c r="G52" t="s">
        <v>19</v>
      </c>
      <c r="H52">
        <v>13.0454159861291</v>
      </c>
      <c r="I52">
        <v>3264.2900763183202</v>
      </c>
      <c r="L52" t="s">
        <v>19</v>
      </c>
      <c r="M52">
        <v>10.5773974164818</v>
      </c>
      <c r="N52">
        <v>1024.64456496811</v>
      </c>
      <c r="Q52" t="s">
        <v>6</v>
      </c>
      <c r="R52">
        <v>13.896052825116101</v>
      </c>
      <c r="S52">
        <v>3472.14251217225</v>
      </c>
    </row>
    <row r="53" spans="7:19" x14ac:dyDescent="0.2">
      <c r="G53" t="s">
        <v>19</v>
      </c>
      <c r="H53">
        <v>12.33412367119</v>
      </c>
      <c r="I53">
        <v>3087.0379122864401</v>
      </c>
      <c r="L53" t="s">
        <v>19</v>
      </c>
      <c r="M53">
        <v>11.190244328533399</v>
      </c>
      <c r="N53">
        <v>2114.4320515976901</v>
      </c>
      <c r="Q53" t="s">
        <v>6</v>
      </c>
      <c r="R53">
        <v>13.238759318788601</v>
      </c>
      <c r="S53">
        <v>3163.3127041319199</v>
      </c>
    </row>
    <row r="54" spans="7:19" x14ac:dyDescent="0.2">
      <c r="G54" t="s">
        <v>19</v>
      </c>
      <c r="H54">
        <v>13.018378045931501</v>
      </c>
      <c r="I54">
        <v>3422.7566563732098</v>
      </c>
      <c r="L54" t="s">
        <v>19</v>
      </c>
      <c r="M54">
        <v>11.7471501476934</v>
      </c>
      <c r="N54">
        <v>992.85123940722804</v>
      </c>
      <c r="Q54" t="s">
        <v>6</v>
      </c>
      <c r="R54">
        <v>17.0106820200103</v>
      </c>
      <c r="S54">
        <v>4264.5477454304801</v>
      </c>
    </row>
    <row r="55" spans="7:19" x14ac:dyDescent="0.2">
      <c r="G55" t="s">
        <v>19</v>
      </c>
      <c r="H55">
        <v>12.429048577064901</v>
      </c>
      <c r="I55">
        <v>2948.1220719715998</v>
      </c>
      <c r="L55" t="s">
        <v>19</v>
      </c>
      <c r="M55">
        <v>7.7189006867970598</v>
      </c>
      <c r="N55">
        <v>572.44456887491503</v>
      </c>
      <c r="Q55" t="s">
        <v>6</v>
      </c>
      <c r="R55">
        <v>11.703106304153801</v>
      </c>
      <c r="S55">
        <v>2897.7082654402702</v>
      </c>
    </row>
    <row r="56" spans="7:19" x14ac:dyDescent="0.2">
      <c r="G56" t="s">
        <v>19</v>
      </c>
      <c r="H56">
        <v>13.7872043984997</v>
      </c>
      <c r="I56">
        <v>3175.13288145773</v>
      </c>
      <c r="L56" t="s">
        <v>19</v>
      </c>
      <c r="M56">
        <v>12.1198113201648</v>
      </c>
      <c r="N56">
        <v>2803.7363230721298</v>
      </c>
      <c r="Q56" t="s">
        <v>6</v>
      </c>
      <c r="R56">
        <v>14.8360150916441</v>
      </c>
      <c r="S56">
        <v>3515.6061670660301</v>
      </c>
    </row>
    <row r="57" spans="7:19" x14ac:dyDescent="0.2">
      <c r="G57" t="s">
        <v>19</v>
      </c>
      <c r="H57">
        <v>11.964174463293199</v>
      </c>
      <c r="I57">
        <v>3029.92464940421</v>
      </c>
      <c r="L57" t="s">
        <v>19</v>
      </c>
      <c r="M57">
        <v>12.7527573211479</v>
      </c>
      <c r="N57">
        <v>3053.7241164081202</v>
      </c>
      <c r="Q57" t="s">
        <v>6</v>
      </c>
      <c r="R57">
        <v>11.084937466823099</v>
      </c>
      <c r="S57">
        <v>2689.40724189095</v>
      </c>
    </row>
    <row r="58" spans="7:19" x14ac:dyDescent="0.2">
      <c r="G58" t="s">
        <v>19</v>
      </c>
      <c r="H58">
        <v>13.335577485923</v>
      </c>
      <c r="I58">
        <v>3434.3613659416601</v>
      </c>
      <c r="L58" t="s">
        <v>24</v>
      </c>
      <c r="M58">
        <v>12.4487390790884</v>
      </c>
      <c r="N58">
        <v>3250.5921842246398</v>
      </c>
      <c r="Q58" t="s">
        <v>6</v>
      </c>
      <c r="R58">
        <v>11.096463087985001</v>
      </c>
      <c r="S58">
        <v>2315.6527909515899</v>
      </c>
    </row>
    <row r="59" spans="7:19" x14ac:dyDescent="0.2">
      <c r="G59" t="s">
        <v>19</v>
      </c>
      <c r="H59">
        <v>10.252430365485701</v>
      </c>
      <c r="I59">
        <v>2242.0820776994101</v>
      </c>
      <c r="L59" t="s">
        <v>24</v>
      </c>
      <c r="M59">
        <v>11.3180057133173</v>
      </c>
      <c r="N59">
        <v>2766.7063760832302</v>
      </c>
      <c r="Q59" t="s">
        <v>6</v>
      </c>
      <c r="R59">
        <v>12.1804094888686</v>
      </c>
      <c r="S59">
        <v>2675.7241230417399</v>
      </c>
    </row>
    <row r="60" spans="7:19" x14ac:dyDescent="0.2">
      <c r="G60" t="s">
        <v>19</v>
      </c>
      <c r="H60">
        <v>13.898313965177501</v>
      </c>
      <c r="I60">
        <v>3517.5897630926402</v>
      </c>
      <c r="L60" t="s">
        <v>24</v>
      </c>
      <c r="M60">
        <v>10.9798047819261</v>
      </c>
      <c r="N60">
        <v>1472.1278837974801</v>
      </c>
      <c r="Q60" t="s">
        <v>6</v>
      </c>
      <c r="R60">
        <v>15.6140752450503</v>
      </c>
      <c r="S60">
        <v>3848.6835574899301</v>
      </c>
    </row>
    <row r="61" spans="7:19" x14ac:dyDescent="0.2">
      <c r="G61" t="s">
        <v>19</v>
      </c>
      <c r="H61">
        <v>11.6348999324823</v>
      </c>
      <c r="I61">
        <v>2406.6139369723401</v>
      </c>
      <c r="L61" t="s">
        <v>24</v>
      </c>
      <c r="M61">
        <v>10.846606611215201</v>
      </c>
      <c r="N61">
        <v>1956.63237210019</v>
      </c>
      <c r="Q61" t="s">
        <v>6</v>
      </c>
      <c r="R61">
        <v>18.539783858974701</v>
      </c>
      <c r="S61">
        <v>4897.83706719361</v>
      </c>
    </row>
    <row r="62" spans="7:19" x14ac:dyDescent="0.2">
      <c r="G62" t="s">
        <v>19</v>
      </c>
      <c r="H62">
        <v>10.200072872796699</v>
      </c>
      <c r="I62">
        <v>1858.0847398066001</v>
      </c>
      <c r="L62" t="s">
        <v>24</v>
      </c>
      <c r="M62">
        <v>12.162874954498699</v>
      </c>
      <c r="N62">
        <v>2956.1230822965999</v>
      </c>
      <c r="Q62" t="s">
        <v>6</v>
      </c>
      <c r="R62">
        <v>11.543756919631999</v>
      </c>
      <c r="S62">
        <v>2877.5024188777602</v>
      </c>
    </row>
    <row r="63" spans="7:19" x14ac:dyDescent="0.2">
      <c r="G63" t="s">
        <v>19</v>
      </c>
      <c r="H63">
        <v>15.0893161703929</v>
      </c>
      <c r="I63">
        <v>3891.7714546953698</v>
      </c>
      <c r="L63" t="s">
        <v>24</v>
      </c>
      <c r="M63">
        <v>12.8617386424991</v>
      </c>
      <c r="N63">
        <v>3114.3812934665002</v>
      </c>
      <c r="Q63" t="s">
        <v>6</v>
      </c>
      <c r="R63">
        <v>13.3366009957874</v>
      </c>
      <c r="S63">
        <v>3388.8566795408201</v>
      </c>
    </row>
    <row r="64" spans="7:19" x14ac:dyDescent="0.2">
      <c r="G64" t="s">
        <v>19</v>
      </c>
      <c r="H64">
        <v>11.723337968286801</v>
      </c>
      <c r="I64">
        <v>2793.3826572070798</v>
      </c>
      <c r="L64" t="s">
        <v>24</v>
      </c>
      <c r="M64">
        <v>12.9339237747786</v>
      </c>
      <c r="N64">
        <v>3214.4829121908501</v>
      </c>
      <c r="Q64" t="s">
        <v>6</v>
      </c>
      <c r="R64">
        <v>13.8427710366892</v>
      </c>
      <c r="S64">
        <v>2744.85325608526</v>
      </c>
    </row>
    <row r="65" spans="7:19" x14ac:dyDescent="0.2">
      <c r="G65" t="s">
        <v>19</v>
      </c>
      <c r="H65">
        <v>10.3494306602005</v>
      </c>
      <c r="I65">
        <v>2296.7648713753401</v>
      </c>
      <c r="L65" t="s">
        <v>24</v>
      </c>
      <c r="M65">
        <v>12.2331437968957</v>
      </c>
      <c r="N65">
        <v>2880.0534242477902</v>
      </c>
      <c r="Q65" t="s">
        <v>6</v>
      </c>
      <c r="R65">
        <v>12.768739948208401</v>
      </c>
      <c r="S65">
        <v>3223.7102164652702</v>
      </c>
    </row>
    <row r="66" spans="7:19" x14ac:dyDescent="0.2">
      <c r="G66" t="s">
        <v>23</v>
      </c>
      <c r="H66">
        <v>12.990546357920399</v>
      </c>
      <c r="I66">
        <v>3106.6948957929899</v>
      </c>
      <c r="L66" t="s">
        <v>24</v>
      </c>
      <c r="M66">
        <v>15.9009300228666</v>
      </c>
      <c r="N66">
        <v>3995.4017927791801</v>
      </c>
      <c r="Q66" t="s">
        <v>6</v>
      </c>
      <c r="R66">
        <v>13.690994452974101</v>
      </c>
      <c r="S66">
        <v>3373.35204151057</v>
      </c>
    </row>
    <row r="67" spans="7:19" x14ac:dyDescent="0.2">
      <c r="G67" t="s">
        <v>23</v>
      </c>
      <c r="H67">
        <v>12.077511924828601</v>
      </c>
      <c r="I67">
        <v>2849.46453243205</v>
      </c>
      <c r="L67" t="s">
        <v>24</v>
      </c>
      <c r="M67">
        <v>12.9036466745839</v>
      </c>
      <c r="N67">
        <v>3050.51253820581</v>
      </c>
      <c r="Q67" t="s">
        <v>6</v>
      </c>
      <c r="R67">
        <v>13.2674984258508</v>
      </c>
      <c r="S67">
        <v>3440.3241222032002</v>
      </c>
    </row>
    <row r="68" spans="7:19" x14ac:dyDescent="0.2">
      <c r="G68" t="s">
        <v>23</v>
      </c>
      <c r="H68">
        <v>14.298525017554301</v>
      </c>
      <c r="I68">
        <v>3565.4029632448101</v>
      </c>
      <c r="L68" t="s">
        <v>24</v>
      </c>
      <c r="M68">
        <v>12.232652522982001</v>
      </c>
      <c r="N68">
        <v>2819.6470572455701</v>
      </c>
      <c r="Q68" t="s">
        <v>6</v>
      </c>
      <c r="R68">
        <v>13.5352107420296</v>
      </c>
      <c r="S68">
        <v>3545.62507748294</v>
      </c>
    </row>
    <row r="69" spans="7:19" x14ac:dyDescent="0.2">
      <c r="G69" t="s">
        <v>23</v>
      </c>
      <c r="H69">
        <v>11.1151547202664</v>
      </c>
      <c r="I69">
        <v>2676.6783205327301</v>
      </c>
      <c r="L69" t="s">
        <v>24</v>
      </c>
      <c r="M69">
        <v>16.3147152759352</v>
      </c>
      <c r="N69">
        <v>3984.1492180170599</v>
      </c>
      <c r="Q69" t="s">
        <v>6</v>
      </c>
      <c r="R69">
        <v>16.277474164351201</v>
      </c>
      <c r="S69">
        <v>4034.6429630686098</v>
      </c>
    </row>
    <row r="70" spans="7:19" x14ac:dyDescent="0.2">
      <c r="G70" t="s">
        <v>23</v>
      </c>
      <c r="H70">
        <v>14.3871440332336</v>
      </c>
      <c r="I70">
        <v>3451.3390439300501</v>
      </c>
      <c r="L70" t="s">
        <v>24</v>
      </c>
      <c r="M70">
        <v>14.071528481069199</v>
      </c>
      <c r="N70">
        <v>3489.7525861498302</v>
      </c>
    </row>
    <row r="71" spans="7:19" x14ac:dyDescent="0.2">
      <c r="G71" t="s">
        <v>23</v>
      </c>
      <c r="H71">
        <v>12.273113249438699</v>
      </c>
      <c r="I71">
        <v>3199.5708869032601</v>
      </c>
      <c r="L71" t="s">
        <v>24</v>
      </c>
      <c r="M71">
        <v>10.6843578380553</v>
      </c>
      <c r="N71">
        <v>2649.4541823930799</v>
      </c>
    </row>
    <row r="72" spans="7:19" x14ac:dyDescent="0.2">
      <c r="G72" t="s">
        <v>23</v>
      </c>
      <c r="H72">
        <v>12.1179471043609</v>
      </c>
      <c r="I72">
        <v>2882.0921528734402</v>
      </c>
      <c r="L72" t="s">
        <v>24</v>
      </c>
      <c r="M72">
        <v>12.511855324119001</v>
      </c>
      <c r="N72">
        <v>3125.4113458615302</v>
      </c>
    </row>
    <row r="73" spans="7:19" x14ac:dyDescent="0.2">
      <c r="G73" t="s">
        <v>23</v>
      </c>
      <c r="H73">
        <v>11.0323557855617</v>
      </c>
      <c r="I73">
        <v>2768.6067083133798</v>
      </c>
      <c r="L73" t="s">
        <v>24</v>
      </c>
      <c r="M73">
        <v>10.1566024175593</v>
      </c>
      <c r="N73">
        <v>2596.32727636047</v>
      </c>
    </row>
    <row r="74" spans="7:19" x14ac:dyDescent="0.2">
      <c r="G74" t="s">
        <v>23</v>
      </c>
      <c r="H74">
        <v>12.5798732530536</v>
      </c>
      <c r="I74">
        <v>2836.0370810089398</v>
      </c>
      <c r="L74" t="s">
        <v>24</v>
      </c>
      <c r="M74">
        <v>12.6967279890012</v>
      </c>
      <c r="N74">
        <v>2814.8810430615799</v>
      </c>
    </row>
    <row r="75" spans="7:19" x14ac:dyDescent="0.2">
      <c r="G75" t="s">
        <v>23</v>
      </c>
      <c r="H75">
        <v>13.0851429436182</v>
      </c>
      <c r="I75">
        <v>3082.2648948487499</v>
      </c>
      <c r="L75" t="s">
        <v>24</v>
      </c>
      <c r="M75">
        <v>8.5190153734791707</v>
      </c>
      <c r="N75">
        <v>999.70733010437596</v>
      </c>
    </row>
    <row r="76" spans="7:19" x14ac:dyDescent="0.2">
      <c r="G76" t="s">
        <v>23</v>
      </c>
      <c r="H76">
        <v>11.889300644351801</v>
      </c>
      <c r="I76">
        <v>2488.8234112057999</v>
      </c>
      <c r="L76" t="s">
        <v>24</v>
      </c>
      <c r="M76">
        <v>14.6040249676599</v>
      </c>
      <c r="N76">
        <v>3514.8325787988902</v>
      </c>
    </row>
    <row r="77" spans="7:19" x14ac:dyDescent="0.2">
      <c r="G77" t="s">
        <v>23</v>
      </c>
      <c r="H77">
        <v>12.460330265866</v>
      </c>
      <c r="I77">
        <v>3233.90926806077</v>
      </c>
      <c r="L77" t="s">
        <v>24</v>
      </c>
      <c r="M77">
        <v>12.716024416475999</v>
      </c>
      <c r="N77">
        <v>3042.5050455433402</v>
      </c>
    </row>
    <row r="78" spans="7:19" x14ac:dyDescent="0.2">
      <c r="G78" t="s">
        <v>23</v>
      </c>
      <c r="H78">
        <v>11.6607587786033</v>
      </c>
      <c r="I78">
        <v>1296.0730336383599</v>
      </c>
      <c r="L78" t="s">
        <v>24</v>
      </c>
      <c r="M78">
        <v>12.885273086474401</v>
      </c>
      <c r="N78">
        <v>2896.0016586075799</v>
      </c>
    </row>
    <row r="79" spans="7:19" x14ac:dyDescent="0.2">
      <c r="G79" t="s">
        <v>23</v>
      </c>
      <c r="H79">
        <v>9.8896482712674594</v>
      </c>
      <c r="I79">
        <v>2078.83843087284</v>
      </c>
      <c r="L79" t="s">
        <v>24</v>
      </c>
      <c r="M79">
        <v>12.236188344631801</v>
      </c>
      <c r="N79">
        <v>3221.8694519240498</v>
      </c>
    </row>
    <row r="80" spans="7:19" x14ac:dyDescent="0.2">
      <c r="G80" t="s">
        <v>23</v>
      </c>
      <c r="H80">
        <v>15.2278187524947</v>
      </c>
      <c r="I80">
        <v>3617.2637201524299</v>
      </c>
      <c r="L80" t="s">
        <v>24</v>
      </c>
      <c r="M80">
        <v>12.3367474551345</v>
      </c>
      <c r="N80">
        <v>2877.1983264095902</v>
      </c>
    </row>
    <row r="81" spans="7:14" x14ac:dyDescent="0.2">
      <c r="G81" t="s">
        <v>23</v>
      </c>
      <c r="H81">
        <v>8.9663280510073395</v>
      </c>
      <c r="I81">
        <v>1116.25280806926</v>
      </c>
      <c r="L81" t="s">
        <v>24</v>
      </c>
      <c r="M81">
        <v>14.4673171375793</v>
      </c>
      <c r="N81">
        <v>3927.6975221932398</v>
      </c>
    </row>
    <row r="82" spans="7:14" x14ac:dyDescent="0.2">
      <c r="G82" t="s">
        <v>23</v>
      </c>
      <c r="H82">
        <v>10.405457844838301</v>
      </c>
      <c r="I82">
        <v>2309.7398931555899</v>
      </c>
    </row>
    <row r="83" spans="7:14" x14ac:dyDescent="0.2">
      <c r="G83" t="s">
        <v>23</v>
      </c>
      <c r="H83">
        <v>13.632501185248399</v>
      </c>
      <c r="I83">
        <v>3310.6846426208199</v>
      </c>
    </row>
    <row r="84" spans="7:14" x14ac:dyDescent="0.2">
      <c r="G84" t="s">
        <v>23</v>
      </c>
      <c r="H84">
        <v>13.125951077317399</v>
      </c>
      <c r="I84">
        <v>3162.86171250491</v>
      </c>
    </row>
    <row r="85" spans="7:14" x14ac:dyDescent="0.2">
      <c r="G85" t="s">
        <v>23</v>
      </c>
      <c r="H85">
        <v>14.2062854602679</v>
      </c>
      <c r="I85">
        <v>3688.8114098156998</v>
      </c>
    </row>
    <row r="86" spans="7:14" x14ac:dyDescent="0.2">
      <c r="G86" t="s">
        <v>23</v>
      </c>
      <c r="H86">
        <v>14.7254707594994</v>
      </c>
      <c r="I86">
        <v>3583.8836626952202</v>
      </c>
    </row>
    <row r="87" spans="7:14" x14ac:dyDescent="0.2">
      <c r="G87" t="s">
        <v>23</v>
      </c>
      <c r="H87">
        <v>13.0197463068325</v>
      </c>
      <c r="I87">
        <v>3099.48857547326</v>
      </c>
    </row>
    <row r="88" spans="7:14" x14ac:dyDescent="0.2">
      <c r="G88" t="s">
        <v>23</v>
      </c>
      <c r="H88">
        <v>15.248063216711</v>
      </c>
      <c r="I88">
        <v>4065.8747554736201</v>
      </c>
    </row>
    <row r="89" spans="7:14" x14ac:dyDescent="0.2">
      <c r="G89" t="s">
        <v>23</v>
      </c>
      <c r="H89">
        <v>13.186486340368299</v>
      </c>
      <c r="I89">
        <v>3224.1282608465999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5B691-3DAF-0845-8FA2-30D203377A87}">
  <dimension ref="A1:J220"/>
  <sheetViews>
    <sheetView workbookViewId="0">
      <selection activeCell="M27" sqref="M27"/>
    </sheetView>
  </sheetViews>
  <sheetFormatPr baseColWidth="10" defaultRowHeight="16" x14ac:dyDescent="0.2"/>
  <cols>
    <col min="7" max="7" width="12.6640625" customWidth="1"/>
    <col min="8" max="8" width="13" customWidth="1"/>
    <col min="9" max="9" width="16" customWidth="1"/>
  </cols>
  <sheetData>
    <row r="1" spans="1:10" x14ac:dyDescent="0.2">
      <c r="A1" t="s">
        <v>17</v>
      </c>
      <c r="B1" t="s">
        <v>13</v>
      </c>
      <c r="C1" t="s">
        <v>60</v>
      </c>
      <c r="D1" t="s">
        <v>51</v>
      </c>
      <c r="G1" t="s">
        <v>17</v>
      </c>
      <c r="H1" t="s">
        <v>61</v>
      </c>
      <c r="I1" t="s">
        <v>62</v>
      </c>
      <c r="J1" t="s">
        <v>51</v>
      </c>
    </row>
    <row r="2" spans="1:10" x14ac:dyDescent="0.2">
      <c r="A2" t="s">
        <v>23</v>
      </c>
      <c r="B2">
        <v>73.65269461077844</v>
      </c>
      <c r="C2">
        <v>1</v>
      </c>
      <c r="D2">
        <v>4</v>
      </c>
      <c r="G2" t="s">
        <v>6</v>
      </c>
      <c r="H2">
        <v>15.573406834304199</v>
      </c>
      <c r="I2">
        <v>3825.5340450107101</v>
      </c>
      <c r="J2">
        <v>4</v>
      </c>
    </row>
    <row r="3" spans="1:10" x14ac:dyDescent="0.2">
      <c r="A3" t="s">
        <v>23</v>
      </c>
      <c r="B3">
        <v>83.78378378378379</v>
      </c>
      <c r="C3">
        <v>1</v>
      </c>
      <c r="D3">
        <v>4</v>
      </c>
      <c r="G3" t="s">
        <v>6</v>
      </c>
      <c r="H3">
        <v>12.6902572608857</v>
      </c>
      <c r="I3">
        <v>2814.1194734242699</v>
      </c>
      <c r="J3">
        <v>4</v>
      </c>
    </row>
    <row r="4" spans="1:10" x14ac:dyDescent="0.2">
      <c r="A4" t="s">
        <v>23</v>
      </c>
      <c r="B4">
        <v>100</v>
      </c>
      <c r="C4">
        <v>1</v>
      </c>
      <c r="D4">
        <v>4</v>
      </c>
      <c r="G4" t="s">
        <v>6</v>
      </c>
      <c r="H4">
        <v>15.045454244743601</v>
      </c>
      <c r="I4">
        <v>3407.9645705456401</v>
      </c>
      <c r="J4">
        <v>4</v>
      </c>
    </row>
    <row r="5" spans="1:10" x14ac:dyDescent="0.2">
      <c r="A5" t="s">
        <v>23</v>
      </c>
      <c r="B5">
        <v>95.510204081632651</v>
      </c>
      <c r="C5">
        <v>1</v>
      </c>
      <c r="D5">
        <v>4</v>
      </c>
      <c r="G5" t="s">
        <v>6</v>
      </c>
      <c r="H5">
        <v>13.257954926497</v>
      </c>
      <c r="I5">
        <v>2968.28159443815</v>
      </c>
      <c r="J5">
        <v>4</v>
      </c>
    </row>
    <row r="6" spans="1:10" x14ac:dyDescent="0.2">
      <c r="A6" t="s">
        <v>23</v>
      </c>
      <c r="B6">
        <v>100</v>
      </c>
      <c r="C6">
        <v>1</v>
      </c>
      <c r="D6">
        <v>4</v>
      </c>
      <c r="G6" t="s">
        <v>6</v>
      </c>
      <c r="H6">
        <v>13.0840779231649</v>
      </c>
      <c r="I6">
        <v>3078.8381962951198</v>
      </c>
      <c r="J6">
        <v>4</v>
      </c>
    </row>
    <row r="7" spans="1:10" x14ac:dyDescent="0.2">
      <c r="A7" t="s">
        <v>23</v>
      </c>
      <c r="B7">
        <v>93.233082706766908</v>
      </c>
      <c r="C7">
        <v>1</v>
      </c>
      <c r="D7">
        <v>4</v>
      </c>
      <c r="G7" t="s">
        <v>6</v>
      </c>
      <c r="H7">
        <v>12.973394283599401</v>
      </c>
      <c r="I7">
        <v>3198.3396180026798</v>
      </c>
      <c r="J7">
        <v>4</v>
      </c>
    </row>
    <row r="8" spans="1:10" x14ac:dyDescent="0.2">
      <c r="A8" t="s">
        <v>23</v>
      </c>
      <c r="B8">
        <v>72.826086956521735</v>
      </c>
      <c r="C8">
        <v>1</v>
      </c>
      <c r="D8">
        <v>4</v>
      </c>
      <c r="G8" t="s">
        <v>6</v>
      </c>
      <c r="H8">
        <v>10.790342569594801</v>
      </c>
      <c r="I8">
        <v>2151.9841179602699</v>
      </c>
      <c r="J8">
        <v>4</v>
      </c>
    </row>
    <row r="9" spans="1:10" x14ac:dyDescent="0.2">
      <c r="A9" t="s">
        <v>23</v>
      </c>
      <c r="B9">
        <v>40.74074074074074</v>
      </c>
      <c r="C9">
        <v>1</v>
      </c>
      <c r="D9">
        <v>4</v>
      </c>
      <c r="G9" t="s">
        <v>6</v>
      </c>
      <c r="H9">
        <v>10.651011350296599</v>
      </c>
      <c r="I9">
        <v>2417.1318428879499</v>
      </c>
      <c r="J9">
        <v>4</v>
      </c>
    </row>
    <row r="10" spans="1:10" x14ac:dyDescent="0.2">
      <c r="A10" t="s">
        <v>23</v>
      </c>
      <c r="B10">
        <v>92.558139534883722</v>
      </c>
      <c r="C10">
        <v>1</v>
      </c>
      <c r="D10">
        <v>4</v>
      </c>
      <c r="G10" t="s">
        <v>6</v>
      </c>
      <c r="H10">
        <v>15.7336843622844</v>
      </c>
      <c r="I10">
        <v>4046.0525306945501</v>
      </c>
      <c r="J10">
        <v>4</v>
      </c>
    </row>
    <row r="11" spans="1:10" x14ac:dyDescent="0.2">
      <c r="A11" t="s">
        <v>23</v>
      </c>
      <c r="B11">
        <v>95.057034220532316</v>
      </c>
      <c r="C11">
        <v>1</v>
      </c>
      <c r="D11">
        <v>4</v>
      </c>
      <c r="G11" t="s">
        <v>6</v>
      </c>
      <c r="H11">
        <v>16.992466864164602</v>
      </c>
      <c r="I11">
        <v>3746.4230015042799</v>
      </c>
      <c r="J11">
        <v>4</v>
      </c>
    </row>
    <row r="12" spans="1:10" x14ac:dyDescent="0.2">
      <c r="A12" t="s">
        <v>23</v>
      </c>
      <c r="B12">
        <v>80.578512396694208</v>
      </c>
      <c r="C12">
        <v>1</v>
      </c>
      <c r="D12">
        <v>4</v>
      </c>
      <c r="G12" t="s">
        <v>6</v>
      </c>
      <c r="H12">
        <v>16.2053309535296</v>
      </c>
      <c r="I12">
        <v>4191.2528793469701</v>
      </c>
      <c r="J12">
        <v>4</v>
      </c>
    </row>
    <row r="13" spans="1:10" x14ac:dyDescent="0.2">
      <c r="A13" t="s">
        <v>23</v>
      </c>
      <c r="B13">
        <v>86.805555555555557</v>
      </c>
      <c r="C13">
        <v>1</v>
      </c>
      <c r="D13">
        <v>4</v>
      </c>
      <c r="G13" t="s">
        <v>6</v>
      </c>
      <c r="H13">
        <v>13.8595797755675</v>
      </c>
      <c r="I13">
        <v>3154.09418397017</v>
      </c>
      <c r="J13">
        <v>4</v>
      </c>
    </row>
    <row r="14" spans="1:10" x14ac:dyDescent="0.2">
      <c r="A14" t="s">
        <v>23</v>
      </c>
      <c r="B14">
        <v>65.372168284789637</v>
      </c>
      <c r="C14">
        <v>1</v>
      </c>
      <c r="D14">
        <v>4</v>
      </c>
      <c r="G14" t="s">
        <v>19</v>
      </c>
      <c r="H14">
        <v>14.390855264880299</v>
      </c>
      <c r="I14">
        <v>3252.93003234862</v>
      </c>
      <c r="J14">
        <v>4</v>
      </c>
    </row>
    <row r="15" spans="1:10" x14ac:dyDescent="0.2">
      <c r="A15" t="s">
        <v>23</v>
      </c>
      <c r="B15">
        <v>87.195121951219505</v>
      </c>
      <c r="C15">
        <v>1</v>
      </c>
      <c r="D15">
        <v>4</v>
      </c>
      <c r="G15" t="s">
        <v>19</v>
      </c>
      <c r="H15">
        <v>11.958296853921899</v>
      </c>
      <c r="I15">
        <v>2926.5267517375401</v>
      </c>
      <c r="J15">
        <v>4</v>
      </c>
    </row>
    <row r="16" spans="1:10" x14ac:dyDescent="0.2">
      <c r="A16" t="s">
        <v>23</v>
      </c>
      <c r="B16">
        <v>99.333333333333329</v>
      </c>
      <c r="C16">
        <v>0</v>
      </c>
      <c r="D16">
        <v>4</v>
      </c>
      <c r="G16" t="s">
        <v>19</v>
      </c>
      <c r="H16">
        <v>12.0952387283806</v>
      </c>
      <c r="I16">
        <v>2295.37771950874</v>
      </c>
      <c r="J16">
        <v>4</v>
      </c>
    </row>
    <row r="17" spans="1:10" x14ac:dyDescent="0.2">
      <c r="A17" t="s">
        <v>23</v>
      </c>
      <c r="B17">
        <v>76</v>
      </c>
      <c r="C17">
        <v>1</v>
      </c>
      <c r="D17">
        <v>4</v>
      </c>
      <c r="G17" t="s">
        <v>19</v>
      </c>
      <c r="H17">
        <v>12.771962848830301</v>
      </c>
      <c r="I17">
        <v>2994.32184933698</v>
      </c>
      <c r="J17">
        <v>4</v>
      </c>
    </row>
    <row r="18" spans="1:10" x14ac:dyDescent="0.2">
      <c r="A18" t="s">
        <v>23</v>
      </c>
      <c r="B18">
        <v>95.411089866156786</v>
      </c>
      <c r="C18">
        <v>1</v>
      </c>
      <c r="D18">
        <v>4</v>
      </c>
      <c r="G18" t="s">
        <v>19</v>
      </c>
      <c r="H18">
        <v>14.4249332329788</v>
      </c>
      <c r="I18">
        <v>3404.88784916943</v>
      </c>
      <c r="J18">
        <v>4</v>
      </c>
    </row>
    <row r="19" spans="1:10" x14ac:dyDescent="0.2">
      <c r="A19" t="s">
        <v>23</v>
      </c>
      <c r="B19">
        <v>56.25</v>
      </c>
      <c r="C19">
        <v>1</v>
      </c>
      <c r="D19">
        <v>4</v>
      </c>
      <c r="G19" t="s">
        <v>19</v>
      </c>
      <c r="H19">
        <v>14.7588801654194</v>
      </c>
      <c r="I19">
        <v>3790.6061655588901</v>
      </c>
      <c r="J19">
        <v>4</v>
      </c>
    </row>
    <row r="20" spans="1:10" x14ac:dyDescent="0.2">
      <c r="A20" t="s">
        <v>23</v>
      </c>
      <c r="B20">
        <v>97.610921501706486</v>
      </c>
      <c r="C20">
        <v>1</v>
      </c>
      <c r="D20">
        <v>4</v>
      </c>
      <c r="G20" t="s">
        <v>19</v>
      </c>
      <c r="H20">
        <v>18.030282198867599</v>
      </c>
      <c r="I20">
        <v>4971.9662100966698</v>
      </c>
      <c r="J20">
        <v>4</v>
      </c>
    </row>
    <row r="21" spans="1:10" x14ac:dyDescent="0.2">
      <c r="A21" t="s">
        <v>23</v>
      </c>
      <c r="B21">
        <v>83.098591549295776</v>
      </c>
      <c r="C21">
        <v>1</v>
      </c>
      <c r="D21">
        <v>4</v>
      </c>
      <c r="G21" t="s">
        <v>19</v>
      </c>
      <c r="H21">
        <v>14.745812288631599</v>
      </c>
      <c r="I21">
        <v>3874.3727151729199</v>
      </c>
      <c r="J21">
        <v>4</v>
      </c>
    </row>
    <row r="22" spans="1:10" x14ac:dyDescent="0.2">
      <c r="A22" t="s">
        <v>19</v>
      </c>
      <c r="B22">
        <v>100</v>
      </c>
      <c r="C22">
        <v>1</v>
      </c>
      <c r="D22">
        <v>4</v>
      </c>
      <c r="G22" t="s">
        <v>19</v>
      </c>
      <c r="H22">
        <v>17.156616271564999</v>
      </c>
      <c r="I22">
        <v>4434.3936036482201</v>
      </c>
      <c r="J22">
        <v>4</v>
      </c>
    </row>
    <row r="23" spans="1:10" x14ac:dyDescent="0.2">
      <c r="A23" t="s">
        <v>19</v>
      </c>
      <c r="B23">
        <v>99.63636363636364</v>
      </c>
      <c r="C23">
        <v>1</v>
      </c>
      <c r="D23">
        <v>4</v>
      </c>
      <c r="G23" t="s">
        <v>19</v>
      </c>
      <c r="H23">
        <v>14.4468374467461</v>
      </c>
      <c r="I23">
        <v>3692.1069861322499</v>
      </c>
      <c r="J23">
        <v>4</v>
      </c>
    </row>
    <row r="24" spans="1:10" x14ac:dyDescent="0.2">
      <c r="A24" t="s">
        <v>19</v>
      </c>
      <c r="B24">
        <v>92.957746478873233</v>
      </c>
      <c r="C24">
        <v>1</v>
      </c>
      <c r="D24">
        <v>4</v>
      </c>
      <c r="G24" t="s">
        <v>19</v>
      </c>
      <c r="H24">
        <v>16.652084010227501</v>
      </c>
      <c r="I24">
        <v>4339.2455706937799</v>
      </c>
      <c r="J24">
        <v>4</v>
      </c>
    </row>
    <row r="25" spans="1:10" x14ac:dyDescent="0.2">
      <c r="A25" t="s">
        <v>19</v>
      </c>
      <c r="B25">
        <v>84.090909090909093</v>
      </c>
      <c r="C25">
        <v>1</v>
      </c>
      <c r="D25">
        <v>4</v>
      </c>
      <c r="G25" t="s">
        <v>19</v>
      </c>
      <c r="H25">
        <v>17.024158797637</v>
      </c>
      <c r="I25">
        <v>4304.2583316887803</v>
      </c>
      <c r="J25">
        <v>4</v>
      </c>
    </row>
    <row r="26" spans="1:10" x14ac:dyDescent="0.2">
      <c r="A26" t="s">
        <v>19</v>
      </c>
      <c r="B26">
        <v>76.315788999999995</v>
      </c>
      <c r="C26">
        <v>1</v>
      </c>
      <c r="D26">
        <v>4</v>
      </c>
      <c r="G26" t="s">
        <v>19</v>
      </c>
      <c r="H26">
        <v>12.670850072449801</v>
      </c>
      <c r="I26">
        <v>3161.2664744936101</v>
      </c>
      <c r="J26">
        <v>4</v>
      </c>
    </row>
    <row r="27" spans="1:10" x14ac:dyDescent="0.2">
      <c r="A27" t="s">
        <v>19</v>
      </c>
      <c r="B27">
        <v>98.666666666666671</v>
      </c>
      <c r="C27">
        <v>1</v>
      </c>
      <c r="D27">
        <v>4</v>
      </c>
      <c r="G27" t="s">
        <v>19</v>
      </c>
      <c r="H27">
        <v>14.1785716210915</v>
      </c>
      <c r="I27">
        <v>3546.5931520192398</v>
      </c>
      <c r="J27">
        <v>4</v>
      </c>
    </row>
    <row r="28" spans="1:10" x14ac:dyDescent="0.2">
      <c r="A28" t="s">
        <v>19</v>
      </c>
      <c r="B28">
        <v>90.909090909090907</v>
      </c>
      <c r="C28">
        <v>1</v>
      </c>
      <c r="D28">
        <v>4</v>
      </c>
      <c r="G28" t="s">
        <v>19</v>
      </c>
      <c r="H28">
        <v>15.615829002745301</v>
      </c>
      <c r="I28">
        <v>4198.0819127045097</v>
      </c>
      <c r="J28">
        <v>4</v>
      </c>
    </row>
    <row r="29" spans="1:10" x14ac:dyDescent="0.2">
      <c r="A29" t="s">
        <v>19</v>
      </c>
      <c r="B29">
        <v>90.725806451612897</v>
      </c>
      <c r="C29">
        <v>1</v>
      </c>
      <c r="D29">
        <v>4</v>
      </c>
      <c r="G29" t="s">
        <v>19</v>
      </c>
      <c r="H29">
        <v>15.4044883433916</v>
      </c>
      <c r="I29">
        <v>3927.8215779573802</v>
      </c>
      <c r="J29">
        <v>4</v>
      </c>
    </row>
    <row r="30" spans="1:10" x14ac:dyDescent="0.2">
      <c r="A30" t="s">
        <v>19</v>
      </c>
      <c r="B30">
        <v>83.544303797468359</v>
      </c>
      <c r="C30">
        <v>1</v>
      </c>
      <c r="D30">
        <v>4</v>
      </c>
      <c r="G30" t="s">
        <v>19</v>
      </c>
      <c r="H30">
        <v>10.0229298</v>
      </c>
      <c r="I30">
        <v>1909.3300400000001</v>
      </c>
      <c r="J30">
        <v>4</v>
      </c>
    </row>
    <row r="31" spans="1:10" x14ac:dyDescent="0.2">
      <c r="A31" t="s">
        <v>19</v>
      </c>
      <c r="B31">
        <v>98.755186721991706</v>
      </c>
      <c r="C31">
        <v>1</v>
      </c>
      <c r="D31">
        <v>4</v>
      </c>
      <c r="G31" t="s">
        <v>19</v>
      </c>
      <c r="H31">
        <v>9.4716789400000003</v>
      </c>
      <c r="I31">
        <v>2347.3921700000001</v>
      </c>
      <c r="J31">
        <v>4</v>
      </c>
    </row>
    <row r="32" spans="1:10" x14ac:dyDescent="0.2">
      <c r="A32" t="s">
        <v>19</v>
      </c>
      <c r="B32">
        <v>91.402714932126699</v>
      </c>
      <c r="C32">
        <v>1</v>
      </c>
      <c r="D32">
        <v>4</v>
      </c>
      <c r="G32" t="s">
        <v>19</v>
      </c>
      <c r="H32">
        <v>12.6860757</v>
      </c>
      <c r="I32">
        <v>3159.8910099999998</v>
      </c>
      <c r="J32">
        <v>4</v>
      </c>
    </row>
    <row r="33" spans="1:10" x14ac:dyDescent="0.2">
      <c r="A33" t="s">
        <v>19</v>
      </c>
      <c r="B33">
        <v>80.645161290322577</v>
      </c>
      <c r="C33">
        <v>1</v>
      </c>
      <c r="D33">
        <v>4</v>
      </c>
      <c r="G33" t="s">
        <v>19</v>
      </c>
      <c r="H33">
        <v>10.3506827</v>
      </c>
      <c r="I33">
        <v>873.802323</v>
      </c>
      <c r="J33">
        <v>4</v>
      </c>
    </row>
    <row r="34" spans="1:10" x14ac:dyDescent="0.2">
      <c r="A34" t="s">
        <v>19</v>
      </c>
      <c r="B34">
        <v>93.103448275862064</v>
      </c>
      <c r="C34">
        <v>1</v>
      </c>
      <c r="D34">
        <v>4</v>
      </c>
      <c r="G34" t="s">
        <v>23</v>
      </c>
      <c r="H34">
        <v>10.034705725949101</v>
      </c>
      <c r="I34">
        <v>1127.3450688155899</v>
      </c>
      <c r="J34">
        <v>4</v>
      </c>
    </row>
    <row r="35" spans="1:10" x14ac:dyDescent="0.2">
      <c r="A35" t="s">
        <v>19</v>
      </c>
      <c r="B35">
        <v>68.253968253968253</v>
      </c>
      <c r="C35">
        <v>1</v>
      </c>
      <c r="D35">
        <v>4</v>
      </c>
      <c r="G35" t="s">
        <v>23</v>
      </c>
      <c r="H35">
        <v>6.2037902279616501</v>
      </c>
      <c r="I35">
        <v>968.20333934076405</v>
      </c>
      <c r="J35">
        <v>4</v>
      </c>
    </row>
    <row r="36" spans="1:10" x14ac:dyDescent="0.2">
      <c r="A36" t="s">
        <v>19</v>
      </c>
      <c r="B36">
        <v>95.530726256983243</v>
      </c>
      <c r="C36">
        <v>1</v>
      </c>
      <c r="D36">
        <v>4</v>
      </c>
      <c r="G36" t="s">
        <v>23</v>
      </c>
      <c r="H36">
        <v>13.681673179455901</v>
      </c>
      <c r="I36">
        <v>3119.0854032360098</v>
      </c>
      <c r="J36">
        <v>4</v>
      </c>
    </row>
    <row r="37" spans="1:10" x14ac:dyDescent="0.2">
      <c r="A37" t="s">
        <v>19</v>
      </c>
      <c r="B37">
        <v>83.030303030303031</v>
      </c>
      <c r="C37">
        <v>1</v>
      </c>
      <c r="D37">
        <v>4</v>
      </c>
      <c r="G37" t="s">
        <v>23</v>
      </c>
      <c r="H37">
        <v>13.447459210280501</v>
      </c>
      <c r="I37">
        <v>3575.7049920828399</v>
      </c>
      <c r="J37">
        <v>4</v>
      </c>
    </row>
    <row r="38" spans="1:10" x14ac:dyDescent="0.2">
      <c r="A38" t="s">
        <v>19</v>
      </c>
      <c r="B38">
        <v>89.189189189189193</v>
      </c>
      <c r="C38">
        <v>1</v>
      </c>
      <c r="D38">
        <v>4</v>
      </c>
      <c r="G38" t="s">
        <v>23</v>
      </c>
      <c r="H38">
        <v>13.8026424263991</v>
      </c>
      <c r="I38">
        <v>3210.3139027452398</v>
      </c>
      <c r="J38">
        <v>4</v>
      </c>
    </row>
    <row r="39" spans="1:10" x14ac:dyDescent="0.2">
      <c r="A39" t="s">
        <v>19</v>
      </c>
      <c r="B39">
        <v>88.63049095607235</v>
      </c>
      <c r="C39">
        <v>1</v>
      </c>
      <c r="D39">
        <v>4</v>
      </c>
      <c r="G39" t="s">
        <v>23</v>
      </c>
      <c r="H39">
        <v>14.1584483481153</v>
      </c>
      <c r="I39">
        <v>3626.7598778056299</v>
      </c>
      <c r="J39">
        <v>4</v>
      </c>
    </row>
    <row r="40" spans="1:10" x14ac:dyDescent="0.2">
      <c r="A40" t="s">
        <v>19</v>
      </c>
      <c r="B40">
        <v>94.756554307116104</v>
      </c>
      <c r="C40">
        <v>1</v>
      </c>
      <c r="D40">
        <v>4</v>
      </c>
      <c r="G40" t="s">
        <v>23</v>
      </c>
      <c r="H40">
        <v>13.582561018301</v>
      </c>
      <c r="I40">
        <v>3205.1375971561502</v>
      </c>
      <c r="J40">
        <v>4</v>
      </c>
    </row>
    <row r="41" spans="1:10" x14ac:dyDescent="0.2">
      <c r="A41" t="s">
        <v>19</v>
      </c>
      <c r="B41">
        <v>96.797153024911026</v>
      </c>
      <c r="C41">
        <v>1</v>
      </c>
      <c r="D41">
        <v>4</v>
      </c>
      <c r="G41" t="s">
        <v>23</v>
      </c>
      <c r="H41">
        <v>13.481961846063999</v>
      </c>
      <c r="I41">
        <v>3402.0574778126902</v>
      </c>
      <c r="J41">
        <v>4</v>
      </c>
    </row>
    <row r="42" spans="1:10" x14ac:dyDescent="0.2">
      <c r="A42" t="s">
        <v>19</v>
      </c>
      <c r="B42">
        <v>94.071146245059296</v>
      </c>
      <c r="C42">
        <v>1</v>
      </c>
      <c r="D42">
        <v>4</v>
      </c>
      <c r="G42" t="s">
        <v>23</v>
      </c>
      <c r="H42">
        <v>14.1036827550046</v>
      </c>
      <c r="I42">
        <v>2619.1361662817399</v>
      </c>
      <c r="J42">
        <v>4</v>
      </c>
    </row>
    <row r="43" spans="1:10" x14ac:dyDescent="0.2">
      <c r="A43" t="s">
        <v>19</v>
      </c>
      <c r="B43">
        <v>98.175182481751818</v>
      </c>
      <c r="C43">
        <v>1</v>
      </c>
      <c r="D43">
        <v>4</v>
      </c>
      <c r="G43" t="s">
        <v>23</v>
      </c>
      <c r="H43">
        <v>12.844076311267401</v>
      </c>
      <c r="I43">
        <v>2928.9131768934999</v>
      </c>
      <c r="J43">
        <v>4</v>
      </c>
    </row>
    <row r="44" spans="1:10" x14ac:dyDescent="0.2">
      <c r="A44" t="s">
        <v>6</v>
      </c>
      <c r="B44">
        <v>94.067796610169495</v>
      </c>
      <c r="C44">
        <v>1</v>
      </c>
      <c r="D44">
        <v>4</v>
      </c>
      <c r="G44" t="s">
        <v>23</v>
      </c>
      <c r="H44">
        <v>13.0781468929263</v>
      </c>
      <c r="I44">
        <v>2990.5533929714602</v>
      </c>
      <c r="J44">
        <v>4</v>
      </c>
    </row>
    <row r="45" spans="1:10" x14ac:dyDescent="0.2">
      <c r="A45" t="s">
        <v>6</v>
      </c>
      <c r="B45">
        <v>97.6</v>
      </c>
      <c r="C45">
        <v>1</v>
      </c>
      <c r="D45">
        <v>4</v>
      </c>
      <c r="G45" t="s">
        <v>23</v>
      </c>
      <c r="H45">
        <v>14.264514738440599</v>
      </c>
      <c r="I45">
        <v>3369.2537728686402</v>
      </c>
      <c r="J45">
        <v>4</v>
      </c>
    </row>
    <row r="46" spans="1:10" x14ac:dyDescent="0.2">
      <c r="A46" t="s">
        <v>6</v>
      </c>
      <c r="B46">
        <v>75</v>
      </c>
      <c r="C46">
        <v>1</v>
      </c>
      <c r="D46">
        <v>4</v>
      </c>
      <c r="G46" t="s">
        <v>6</v>
      </c>
      <c r="H46">
        <v>13.5863714361103</v>
      </c>
      <c r="I46">
        <v>3435.1654286130201</v>
      </c>
      <c r="J46">
        <v>5</v>
      </c>
    </row>
    <row r="47" spans="1:10" x14ac:dyDescent="0.2">
      <c r="A47" t="s">
        <v>6</v>
      </c>
      <c r="B47">
        <v>65.044247787610615</v>
      </c>
      <c r="C47">
        <v>1</v>
      </c>
      <c r="D47">
        <v>4</v>
      </c>
      <c r="G47" t="s">
        <v>6</v>
      </c>
      <c r="H47">
        <v>10.499436591983301</v>
      </c>
      <c r="I47">
        <v>2505.8589010073902</v>
      </c>
      <c r="J47">
        <v>5</v>
      </c>
    </row>
    <row r="48" spans="1:10" x14ac:dyDescent="0.2">
      <c r="A48" t="s">
        <v>6</v>
      </c>
      <c r="B48">
        <v>86.544342507645254</v>
      </c>
      <c r="C48">
        <v>1</v>
      </c>
      <c r="D48">
        <v>4</v>
      </c>
      <c r="G48" t="s">
        <v>6</v>
      </c>
      <c r="H48">
        <v>13.973269378379101</v>
      </c>
      <c r="I48">
        <v>3182.1077791477101</v>
      </c>
      <c r="J48">
        <v>5</v>
      </c>
    </row>
    <row r="49" spans="1:10" x14ac:dyDescent="0.2">
      <c r="A49" t="s">
        <v>6</v>
      </c>
      <c r="B49">
        <v>91.591591591591595</v>
      </c>
      <c r="C49">
        <v>1</v>
      </c>
      <c r="D49">
        <v>4</v>
      </c>
      <c r="G49" t="s">
        <v>6</v>
      </c>
      <c r="H49">
        <v>12.8806526674786</v>
      </c>
      <c r="I49">
        <v>3083.0456352269698</v>
      </c>
      <c r="J49">
        <v>5</v>
      </c>
    </row>
    <row r="50" spans="1:10" x14ac:dyDescent="0.2">
      <c r="A50" t="s">
        <v>6</v>
      </c>
      <c r="B50">
        <v>95.842956120092381</v>
      </c>
      <c r="C50">
        <v>1</v>
      </c>
      <c r="D50">
        <v>4</v>
      </c>
      <c r="G50" t="s">
        <v>6</v>
      </c>
      <c r="H50">
        <v>15.0586634946639</v>
      </c>
      <c r="I50">
        <v>3689.00158031091</v>
      </c>
      <c r="J50">
        <v>5</v>
      </c>
    </row>
    <row r="51" spans="1:10" x14ac:dyDescent="0.2">
      <c r="A51" t="s">
        <v>6</v>
      </c>
      <c r="B51">
        <v>61.224489795918366</v>
      </c>
      <c r="C51">
        <v>1</v>
      </c>
      <c r="D51">
        <v>4</v>
      </c>
      <c r="G51" t="s">
        <v>6</v>
      </c>
      <c r="H51">
        <v>14.1848198159585</v>
      </c>
      <c r="I51">
        <v>3551.2842143780199</v>
      </c>
      <c r="J51">
        <v>5</v>
      </c>
    </row>
    <row r="52" spans="1:10" x14ac:dyDescent="0.2">
      <c r="A52" t="s">
        <v>6</v>
      </c>
      <c r="B52">
        <v>79.377431906614788</v>
      </c>
      <c r="C52">
        <v>1</v>
      </c>
      <c r="D52">
        <v>4</v>
      </c>
      <c r="G52" t="s">
        <v>6</v>
      </c>
      <c r="H52">
        <v>15.76477755788</v>
      </c>
      <c r="I52">
        <v>4058.8202229273002</v>
      </c>
      <c r="J52">
        <v>5</v>
      </c>
    </row>
    <row r="53" spans="1:10" x14ac:dyDescent="0.2">
      <c r="A53" t="s">
        <v>6</v>
      </c>
      <c r="B53">
        <v>90.052356020942398</v>
      </c>
      <c r="C53">
        <v>1</v>
      </c>
      <c r="D53">
        <v>4</v>
      </c>
      <c r="G53" t="s">
        <v>6</v>
      </c>
      <c r="H53">
        <v>15.686909417590901</v>
      </c>
      <c r="I53">
        <v>4296.4443591224399</v>
      </c>
      <c r="J53">
        <v>5</v>
      </c>
    </row>
    <row r="54" spans="1:10" x14ac:dyDescent="0.2">
      <c r="A54" t="s">
        <v>6</v>
      </c>
      <c r="B54">
        <v>96.466431095406364</v>
      </c>
      <c r="C54">
        <v>1</v>
      </c>
      <c r="D54">
        <v>4</v>
      </c>
      <c r="G54" t="s">
        <v>6</v>
      </c>
      <c r="H54">
        <v>14.3230596406448</v>
      </c>
      <c r="I54">
        <v>3725.0368090776001</v>
      </c>
      <c r="J54">
        <v>5</v>
      </c>
    </row>
    <row r="55" spans="1:10" x14ac:dyDescent="0.2">
      <c r="A55" t="s">
        <v>6</v>
      </c>
      <c r="B55">
        <v>98.154981549815503</v>
      </c>
      <c r="C55">
        <v>1</v>
      </c>
      <c r="D55">
        <v>4</v>
      </c>
      <c r="G55" t="s">
        <v>6</v>
      </c>
      <c r="H55">
        <v>13.991587568923</v>
      </c>
      <c r="I55">
        <v>3522.0260065601101</v>
      </c>
      <c r="J55">
        <v>5</v>
      </c>
    </row>
    <row r="56" spans="1:10" x14ac:dyDescent="0.2">
      <c r="A56" t="s">
        <v>6</v>
      </c>
      <c r="B56">
        <v>95.78947368421052</v>
      </c>
      <c r="C56">
        <v>1</v>
      </c>
      <c r="D56">
        <v>4</v>
      </c>
      <c r="G56" t="s">
        <v>6</v>
      </c>
      <c r="H56">
        <v>16.095684204592501</v>
      </c>
      <c r="I56">
        <v>3920.5868341556702</v>
      </c>
      <c r="J56">
        <v>5</v>
      </c>
    </row>
    <row r="57" spans="1:10" x14ac:dyDescent="0.2">
      <c r="A57" t="s">
        <v>6</v>
      </c>
      <c r="B57">
        <v>100</v>
      </c>
      <c r="C57">
        <v>1</v>
      </c>
      <c r="D57">
        <v>4</v>
      </c>
      <c r="G57" t="s">
        <v>6</v>
      </c>
      <c r="H57">
        <v>16.275539015850502</v>
      </c>
      <c r="I57">
        <v>4402.1004652400197</v>
      </c>
      <c r="J57">
        <v>5</v>
      </c>
    </row>
    <row r="58" spans="1:10" x14ac:dyDescent="0.2">
      <c r="A58" t="s">
        <v>6</v>
      </c>
      <c r="B58">
        <v>97.802197802197796</v>
      </c>
      <c r="C58">
        <v>1</v>
      </c>
      <c r="D58">
        <v>4</v>
      </c>
      <c r="G58" t="s">
        <v>6</v>
      </c>
      <c r="H58">
        <v>14.226544961479799</v>
      </c>
      <c r="I58">
        <v>3667.8492251113998</v>
      </c>
      <c r="J58">
        <v>5</v>
      </c>
    </row>
    <row r="59" spans="1:10" x14ac:dyDescent="0.2">
      <c r="A59" t="s">
        <v>6</v>
      </c>
      <c r="B59">
        <v>89.682539682539684</v>
      </c>
      <c r="C59">
        <v>1</v>
      </c>
      <c r="D59">
        <v>4</v>
      </c>
      <c r="G59" t="s">
        <v>6</v>
      </c>
      <c r="H59">
        <v>16.098596650736301</v>
      </c>
      <c r="I59">
        <v>4400.1742407555503</v>
      </c>
      <c r="J59">
        <v>5</v>
      </c>
    </row>
    <row r="60" spans="1:10" x14ac:dyDescent="0.2">
      <c r="A60" t="s">
        <v>6</v>
      </c>
      <c r="B60">
        <v>90.322580645161281</v>
      </c>
      <c r="C60">
        <v>1</v>
      </c>
      <c r="D60">
        <v>4</v>
      </c>
      <c r="G60" t="s">
        <v>6</v>
      </c>
      <c r="H60">
        <v>19.915081325971201</v>
      </c>
      <c r="I60">
        <v>5580.0121398888396</v>
      </c>
      <c r="J60">
        <v>5</v>
      </c>
    </row>
    <row r="61" spans="1:10" x14ac:dyDescent="0.2">
      <c r="A61" t="s">
        <v>6</v>
      </c>
      <c r="B61">
        <v>83.168316831683171</v>
      </c>
      <c r="C61">
        <v>1</v>
      </c>
      <c r="D61">
        <v>4</v>
      </c>
      <c r="G61" t="s">
        <v>6</v>
      </c>
      <c r="H61">
        <v>13.0291616633657</v>
      </c>
      <c r="I61">
        <v>3222.9332349741999</v>
      </c>
      <c r="J61">
        <v>5</v>
      </c>
    </row>
    <row r="62" spans="1:10" x14ac:dyDescent="0.2">
      <c r="A62" t="s">
        <v>6</v>
      </c>
      <c r="B62">
        <v>85.477178423236509</v>
      </c>
      <c r="C62">
        <v>1</v>
      </c>
      <c r="D62">
        <v>4</v>
      </c>
      <c r="G62" t="s">
        <v>6</v>
      </c>
      <c r="H62">
        <v>14.273880683043799</v>
      </c>
      <c r="I62">
        <v>3777.2849042463099</v>
      </c>
      <c r="J62">
        <v>5</v>
      </c>
    </row>
    <row r="63" spans="1:10" x14ac:dyDescent="0.2">
      <c r="A63" t="s">
        <v>6</v>
      </c>
      <c r="B63">
        <v>90.625</v>
      </c>
      <c r="C63">
        <v>1</v>
      </c>
      <c r="D63">
        <v>4</v>
      </c>
      <c r="G63" t="s">
        <v>6</v>
      </c>
      <c r="H63">
        <v>11.0393152623465</v>
      </c>
      <c r="I63">
        <v>2728.6075081742101</v>
      </c>
      <c r="J63">
        <v>5</v>
      </c>
    </row>
    <row r="64" spans="1:10" x14ac:dyDescent="0.2">
      <c r="A64" t="s">
        <v>6</v>
      </c>
      <c r="B64">
        <v>86.538461538461547</v>
      </c>
      <c r="C64">
        <v>1</v>
      </c>
      <c r="D64">
        <v>4</v>
      </c>
      <c r="G64" t="s">
        <v>6</v>
      </c>
      <c r="H64">
        <v>12.091575877997901</v>
      </c>
      <c r="I64">
        <v>3005.8921888259501</v>
      </c>
      <c r="J64">
        <v>5</v>
      </c>
    </row>
    <row r="65" spans="1:10" x14ac:dyDescent="0.2">
      <c r="A65" t="s">
        <v>19</v>
      </c>
      <c r="B65">
        <v>100</v>
      </c>
      <c r="C65">
        <v>1</v>
      </c>
      <c r="D65">
        <v>5</v>
      </c>
      <c r="G65" t="s">
        <v>6</v>
      </c>
      <c r="H65">
        <v>11.5041541230493</v>
      </c>
      <c r="I65">
        <v>2636.4491940703401</v>
      </c>
      <c r="J65">
        <v>5</v>
      </c>
    </row>
    <row r="66" spans="1:10" x14ac:dyDescent="0.2">
      <c r="A66" t="s">
        <v>19</v>
      </c>
      <c r="B66">
        <v>84.313725490196077</v>
      </c>
      <c r="C66">
        <v>1</v>
      </c>
      <c r="D66">
        <v>5</v>
      </c>
      <c r="G66" t="s">
        <v>6</v>
      </c>
      <c r="H66">
        <v>14.5304775406721</v>
      </c>
      <c r="I66">
        <v>3488.8541934048799</v>
      </c>
      <c r="J66">
        <v>5</v>
      </c>
    </row>
    <row r="67" spans="1:10" x14ac:dyDescent="0.2">
      <c r="A67" t="s">
        <v>19</v>
      </c>
      <c r="B67">
        <v>100</v>
      </c>
      <c r="C67">
        <v>1</v>
      </c>
      <c r="D67">
        <v>5</v>
      </c>
      <c r="G67" t="s">
        <v>6</v>
      </c>
      <c r="H67">
        <v>11.690762872991201</v>
      </c>
      <c r="I67">
        <v>3111.1194520245699</v>
      </c>
      <c r="J67">
        <v>5</v>
      </c>
    </row>
    <row r="68" spans="1:10" x14ac:dyDescent="0.2">
      <c r="A68" t="s">
        <v>19</v>
      </c>
      <c r="B68">
        <v>100</v>
      </c>
      <c r="C68">
        <v>1</v>
      </c>
      <c r="D68">
        <v>5</v>
      </c>
      <c r="G68" t="s">
        <v>6</v>
      </c>
      <c r="H68">
        <v>13.2581525334221</v>
      </c>
      <c r="I68">
        <v>2653.49309454898</v>
      </c>
      <c r="J68">
        <v>5</v>
      </c>
    </row>
    <row r="69" spans="1:10" x14ac:dyDescent="0.2">
      <c r="A69" t="s">
        <v>19</v>
      </c>
      <c r="B69">
        <v>97.959183673469383</v>
      </c>
      <c r="C69">
        <v>1</v>
      </c>
      <c r="D69">
        <v>5</v>
      </c>
      <c r="G69" t="s">
        <v>6</v>
      </c>
      <c r="H69">
        <v>14.2803935687039</v>
      </c>
      <c r="I69">
        <v>3726.3626882028502</v>
      </c>
      <c r="J69">
        <v>5</v>
      </c>
    </row>
    <row r="70" spans="1:10" x14ac:dyDescent="0.2">
      <c r="A70" t="s">
        <v>19</v>
      </c>
      <c r="B70">
        <v>92.827004219409275</v>
      </c>
      <c r="C70">
        <v>1</v>
      </c>
      <c r="D70">
        <v>5</v>
      </c>
      <c r="G70" t="s">
        <v>6</v>
      </c>
      <c r="H70">
        <v>11.4441678849363</v>
      </c>
      <c r="I70">
        <v>2895.1441396380701</v>
      </c>
      <c r="J70">
        <v>5</v>
      </c>
    </row>
    <row r="71" spans="1:10" x14ac:dyDescent="0.2">
      <c r="A71" t="s">
        <v>19</v>
      </c>
      <c r="B71">
        <v>78.166666666666657</v>
      </c>
      <c r="C71">
        <v>1</v>
      </c>
      <c r="D71">
        <v>5</v>
      </c>
      <c r="G71" t="s">
        <v>6</v>
      </c>
      <c r="H71">
        <v>12.45152180951</v>
      </c>
      <c r="I71">
        <v>3231.62558478451</v>
      </c>
      <c r="J71">
        <v>5</v>
      </c>
    </row>
    <row r="72" spans="1:10" x14ac:dyDescent="0.2">
      <c r="A72" t="s">
        <v>19</v>
      </c>
      <c r="B72">
        <v>100</v>
      </c>
      <c r="C72">
        <v>1</v>
      </c>
      <c r="D72">
        <v>5</v>
      </c>
      <c r="G72" t="s">
        <v>6</v>
      </c>
      <c r="H72">
        <v>11.4140940464012</v>
      </c>
      <c r="I72">
        <v>2665.4306929087302</v>
      </c>
      <c r="J72">
        <v>5</v>
      </c>
    </row>
    <row r="73" spans="1:10" x14ac:dyDescent="0.2">
      <c r="A73" t="s">
        <v>19</v>
      </c>
      <c r="B73">
        <v>100</v>
      </c>
      <c r="C73">
        <v>1</v>
      </c>
      <c r="D73">
        <v>5</v>
      </c>
      <c r="G73" t="s">
        <v>6</v>
      </c>
      <c r="H73">
        <v>11.9601668327137</v>
      </c>
      <c r="I73">
        <v>2521.2369452778198</v>
      </c>
      <c r="J73">
        <v>5</v>
      </c>
    </row>
    <row r="74" spans="1:10" x14ac:dyDescent="0.2">
      <c r="A74" t="s">
        <v>19</v>
      </c>
      <c r="B74">
        <v>88.63636363636364</v>
      </c>
      <c r="C74">
        <v>1</v>
      </c>
      <c r="D74">
        <v>5</v>
      </c>
      <c r="G74" t="s">
        <v>6</v>
      </c>
      <c r="H74">
        <v>15.818761707296</v>
      </c>
      <c r="I74">
        <v>4132.1251340935496</v>
      </c>
      <c r="J74">
        <v>5</v>
      </c>
    </row>
    <row r="75" spans="1:10" x14ac:dyDescent="0.2">
      <c r="A75" t="s">
        <v>19</v>
      </c>
      <c r="B75">
        <v>100</v>
      </c>
      <c r="C75">
        <v>1</v>
      </c>
      <c r="D75">
        <v>5</v>
      </c>
      <c r="G75" t="s">
        <v>6</v>
      </c>
      <c r="H75">
        <v>14.202787207829999</v>
      </c>
      <c r="I75">
        <v>3847.3078486234699</v>
      </c>
      <c r="J75">
        <v>5</v>
      </c>
    </row>
    <row r="76" spans="1:10" x14ac:dyDescent="0.2">
      <c r="A76" t="s">
        <v>19</v>
      </c>
      <c r="B76">
        <v>100</v>
      </c>
      <c r="C76">
        <v>1</v>
      </c>
      <c r="D76">
        <v>5</v>
      </c>
      <c r="G76" t="s">
        <v>6</v>
      </c>
      <c r="H76">
        <v>12.270301963171301</v>
      </c>
      <c r="I76">
        <v>2997.1684848156001</v>
      </c>
      <c r="J76">
        <v>5</v>
      </c>
    </row>
    <row r="77" spans="1:10" x14ac:dyDescent="0.2">
      <c r="A77" t="s">
        <v>19</v>
      </c>
      <c r="B77">
        <v>72.680412371134011</v>
      </c>
      <c r="C77">
        <v>1</v>
      </c>
      <c r="D77">
        <v>5</v>
      </c>
      <c r="G77" t="s">
        <v>6</v>
      </c>
      <c r="H77">
        <v>14.306155607362699</v>
      </c>
      <c r="I77">
        <v>3278.7060954919398</v>
      </c>
      <c r="J77">
        <v>5</v>
      </c>
    </row>
    <row r="78" spans="1:10" x14ac:dyDescent="0.2">
      <c r="A78" t="s">
        <v>19</v>
      </c>
      <c r="B78">
        <v>88.666666666666671</v>
      </c>
      <c r="C78">
        <v>1</v>
      </c>
      <c r="D78">
        <v>5</v>
      </c>
      <c r="G78" t="s">
        <v>6</v>
      </c>
      <c r="H78">
        <v>12.8392354460183</v>
      </c>
      <c r="I78">
        <v>3293.3562608891998</v>
      </c>
      <c r="J78">
        <v>5</v>
      </c>
    </row>
    <row r="79" spans="1:10" x14ac:dyDescent="0.2">
      <c r="A79" t="s">
        <v>19</v>
      </c>
      <c r="B79">
        <v>100</v>
      </c>
      <c r="C79">
        <v>1</v>
      </c>
      <c r="D79">
        <v>5</v>
      </c>
      <c r="G79" t="s">
        <v>6</v>
      </c>
      <c r="H79">
        <v>12.857080075859001</v>
      </c>
      <c r="I79">
        <v>2976.5635784792498</v>
      </c>
      <c r="J79">
        <v>5</v>
      </c>
    </row>
    <row r="80" spans="1:10" x14ac:dyDescent="0.2">
      <c r="A80" t="s">
        <v>19</v>
      </c>
      <c r="B80">
        <v>99.061032863849761</v>
      </c>
      <c r="C80">
        <v>1</v>
      </c>
      <c r="D80">
        <v>5</v>
      </c>
      <c r="G80" t="s">
        <v>6</v>
      </c>
      <c r="H80">
        <v>13.643476658342101</v>
      </c>
      <c r="I80">
        <v>3372.77874620496</v>
      </c>
      <c r="J80">
        <v>5</v>
      </c>
    </row>
    <row r="81" spans="1:10" x14ac:dyDescent="0.2">
      <c r="A81" t="s">
        <v>19</v>
      </c>
      <c r="B81">
        <v>100</v>
      </c>
      <c r="C81">
        <v>1</v>
      </c>
      <c r="D81">
        <v>5</v>
      </c>
      <c r="G81" t="s">
        <v>6</v>
      </c>
      <c r="H81">
        <v>11.8936001461659</v>
      </c>
      <c r="I81">
        <v>2529.8477955031899</v>
      </c>
      <c r="J81">
        <v>5</v>
      </c>
    </row>
    <row r="82" spans="1:10" x14ac:dyDescent="0.2">
      <c r="A82" t="s">
        <v>19</v>
      </c>
      <c r="B82">
        <v>96.085409252669038</v>
      </c>
      <c r="C82">
        <v>1</v>
      </c>
      <c r="D82">
        <v>5</v>
      </c>
      <c r="G82" t="s">
        <v>19</v>
      </c>
      <c r="H82">
        <v>11.5608312043317</v>
      </c>
      <c r="I82">
        <v>921.88007683037995</v>
      </c>
      <c r="J82">
        <v>5</v>
      </c>
    </row>
    <row r="83" spans="1:10" x14ac:dyDescent="0.2">
      <c r="A83" t="s">
        <v>19</v>
      </c>
      <c r="B83">
        <v>97.321428571428569</v>
      </c>
      <c r="C83">
        <v>1</v>
      </c>
      <c r="D83">
        <v>5</v>
      </c>
      <c r="G83" t="s">
        <v>19</v>
      </c>
      <c r="H83">
        <v>15.054991660450099</v>
      </c>
      <c r="I83">
        <v>4109.9690416945796</v>
      </c>
      <c r="J83">
        <v>5</v>
      </c>
    </row>
    <row r="84" spans="1:10" x14ac:dyDescent="0.2">
      <c r="A84" t="s">
        <v>19</v>
      </c>
      <c r="B84">
        <v>94</v>
      </c>
      <c r="C84">
        <v>1</v>
      </c>
      <c r="D84">
        <v>5</v>
      </c>
      <c r="G84" t="s">
        <v>19</v>
      </c>
      <c r="H84">
        <v>12.152247085597599</v>
      </c>
      <c r="I84">
        <v>3066.4022036659499</v>
      </c>
      <c r="J84">
        <v>5</v>
      </c>
    </row>
    <row r="85" spans="1:10" x14ac:dyDescent="0.2">
      <c r="A85" t="s">
        <v>19</v>
      </c>
      <c r="B85">
        <v>97.575757575757578</v>
      </c>
      <c r="C85">
        <v>1</v>
      </c>
      <c r="D85">
        <v>5</v>
      </c>
      <c r="G85" t="s">
        <v>19</v>
      </c>
      <c r="H85">
        <v>10.6053660074181</v>
      </c>
      <c r="I85">
        <v>2150.6034005966699</v>
      </c>
      <c r="J85">
        <v>5</v>
      </c>
    </row>
    <row r="86" spans="1:10" x14ac:dyDescent="0.2">
      <c r="A86" t="s">
        <v>19</v>
      </c>
      <c r="B86">
        <v>92.473118279569889</v>
      </c>
      <c r="C86">
        <v>1</v>
      </c>
      <c r="D86">
        <v>5</v>
      </c>
      <c r="G86" t="s">
        <v>19</v>
      </c>
      <c r="H86">
        <v>11.8640297210958</v>
      </c>
      <c r="I86">
        <v>2198.98704151211</v>
      </c>
      <c r="J86">
        <v>5</v>
      </c>
    </row>
    <row r="87" spans="1:10" x14ac:dyDescent="0.2">
      <c r="A87" t="s">
        <v>19</v>
      </c>
      <c r="B87">
        <v>83.739837398373979</v>
      </c>
      <c r="C87">
        <v>1</v>
      </c>
      <c r="D87">
        <v>5</v>
      </c>
      <c r="G87" t="s">
        <v>19</v>
      </c>
      <c r="H87">
        <v>14.415258783293099</v>
      </c>
      <c r="I87">
        <v>3868.5691950471901</v>
      </c>
      <c r="J87">
        <v>5</v>
      </c>
    </row>
    <row r="88" spans="1:10" x14ac:dyDescent="0.2">
      <c r="A88" t="s">
        <v>19</v>
      </c>
      <c r="B88">
        <v>100</v>
      </c>
      <c r="C88">
        <v>1</v>
      </c>
      <c r="D88">
        <v>5</v>
      </c>
      <c r="G88" t="s">
        <v>19</v>
      </c>
      <c r="H88">
        <v>12.279970287802399</v>
      </c>
      <c r="I88">
        <v>3105.13861550819</v>
      </c>
      <c r="J88">
        <v>5</v>
      </c>
    </row>
    <row r="89" spans="1:10" x14ac:dyDescent="0.2">
      <c r="A89" t="s">
        <v>19</v>
      </c>
      <c r="B89">
        <v>60</v>
      </c>
      <c r="C89">
        <v>1</v>
      </c>
      <c r="D89">
        <v>5</v>
      </c>
      <c r="G89" t="s">
        <v>19</v>
      </c>
      <c r="H89">
        <v>14.562557573661</v>
      </c>
      <c r="I89">
        <v>3753.25257187739</v>
      </c>
      <c r="J89">
        <v>5</v>
      </c>
    </row>
    <row r="90" spans="1:10" x14ac:dyDescent="0.2">
      <c r="A90" t="s">
        <v>19</v>
      </c>
      <c r="B90">
        <v>53.658536585365859</v>
      </c>
      <c r="C90">
        <v>1</v>
      </c>
      <c r="D90">
        <v>5</v>
      </c>
      <c r="G90" t="s">
        <v>19</v>
      </c>
      <c r="H90">
        <v>12.8852694987132</v>
      </c>
      <c r="I90">
        <v>3466.68042410513</v>
      </c>
      <c r="J90">
        <v>5</v>
      </c>
    </row>
    <row r="91" spans="1:10" x14ac:dyDescent="0.2">
      <c r="A91" t="s">
        <v>19</v>
      </c>
      <c r="B91">
        <v>98.561151079136692</v>
      </c>
      <c r="C91">
        <v>1</v>
      </c>
      <c r="D91">
        <v>5</v>
      </c>
      <c r="G91" t="s">
        <v>19</v>
      </c>
      <c r="H91">
        <v>14.367581013464701</v>
      </c>
      <c r="I91">
        <v>3738.12852135505</v>
      </c>
      <c r="J91">
        <v>5</v>
      </c>
    </row>
    <row r="92" spans="1:10" x14ac:dyDescent="0.2">
      <c r="A92" t="s">
        <v>19</v>
      </c>
      <c r="B92">
        <v>100</v>
      </c>
      <c r="C92">
        <v>1</v>
      </c>
      <c r="D92">
        <v>5</v>
      </c>
      <c r="G92" t="s">
        <v>19</v>
      </c>
      <c r="H92">
        <v>14.8944015644615</v>
      </c>
      <c r="I92">
        <v>4144.5258093789598</v>
      </c>
      <c r="J92">
        <v>5</v>
      </c>
    </row>
    <row r="93" spans="1:10" x14ac:dyDescent="0.2">
      <c r="A93" t="s">
        <v>19</v>
      </c>
      <c r="B93">
        <v>96.15384615384616</v>
      </c>
      <c r="C93">
        <v>1</v>
      </c>
      <c r="D93">
        <v>5</v>
      </c>
      <c r="G93" t="s">
        <v>19</v>
      </c>
      <c r="H93">
        <v>10.9363203672391</v>
      </c>
      <c r="I93">
        <v>2441.2800669084099</v>
      </c>
      <c r="J93">
        <v>5</v>
      </c>
    </row>
    <row r="94" spans="1:10" x14ac:dyDescent="0.2">
      <c r="A94" t="s">
        <v>6</v>
      </c>
      <c r="B94">
        <v>78.443113772455092</v>
      </c>
      <c r="C94">
        <v>1</v>
      </c>
      <c r="D94">
        <v>5</v>
      </c>
      <c r="G94" t="s">
        <v>19</v>
      </c>
      <c r="H94">
        <v>12.1530982438185</v>
      </c>
      <c r="I94">
        <v>3171.61631070782</v>
      </c>
      <c r="J94">
        <v>5</v>
      </c>
    </row>
    <row r="95" spans="1:10" x14ac:dyDescent="0.2">
      <c r="A95" t="s">
        <v>6</v>
      </c>
      <c r="B95">
        <v>98.333333333333329</v>
      </c>
      <c r="C95">
        <v>1</v>
      </c>
      <c r="D95">
        <v>5</v>
      </c>
      <c r="G95" t="s">
        <v>19</v>
      </c>
      <c r="H95">
        <v>13.4848452391852</v>
      </c>
      <c r="I95">
        <v>3344.7829469373701</v>
      </c>
      <c r="J95">
        <v>5</v>
      </c>
    </row>
    <row r="96" spans="1:10" x14ac:dyDescent="0.2">
      <c r="A96" t="s">
        <v>6</v>
      </c>
      <c r="B96">
        <v>98.611111111111114</v>
      </c>
      <c r="C96">
        <v>1</v>
      </c>
      <c r="D96">
        <v>5</v>
      </c>
      <c r="G96" t="s">
        <v>19</v>
      </c>
      <c r="H96">
        <v>13.0454159861291</v>
      </c>
      <c r="I96">
        <v>3264.2900763183202</v>
      </c>
      <c r="J96">
        <v>5</v>
      </c>
    </row>
    <row r="97" spans="1:10" x14ac:dyDescent="0.2">
      <c r="A97" t="s">
        <v>6</v>
      </c>
      <c r="B97">
        <v>64.285714285714292</v>
      </c>
      <c r="C97">
        <v>1</v>
      </c>
      <c r="D97">
        <v>5</v>
      </c>
      <c r="G97" t="s">
        <v>19</v>
      </c>
      <c r="H97">
        <v>12.33412367119</v>
      </c>
      <c r="I97">
        <v>3087.0379122864401</v>
      </c>
      <c r="J97">
        <v>5</v>
      </c>
    </row>
    <row r="98" spans="1:10" x14ac:dyDescent="0.2">
      <c r="A98" t="s">
        <v>6</v>
      </c>
      <c r="B98">
        <v>88.888888888888886</v>
      </c>
      <c r="C98">
        <v>1</v>
      </c>
      <c r="D98">
        <v>5</v>
      </c>
      <c r="G98" t="s">
        <v>19</v>
      </c>
      <c r="H98">
        <v>13.018378045931501</v>
      </c>
      <c r="I98">
        <v>3422.7566563732098</v>
      </c>
      <c r="J98">
        <v>5</v>
      </c>
    </row>
    <row r="99" spans="1:10" x14ac:dyDescent="0.2">
      <c r="A99" t="s">
        <v>6</v>
      </c>
      <c r="B99">
        <v>97.166666666666671</v>
      </c>
      <c r="C99">
        <v>1</v>
      </c>
      <c r="D99">
        <v>5</v>
      </c>
      <c r="G99" t="s">
        <v>19</v>
      </c>
      <c r="H99">
        <v>12.429048577064901</v>
      </c>
      <c r="I99">
        <v>2948.1220719715998</v>
      </c>
      <c r="J99">
        <v>5</v>
      </c>
    </row>
    <row r="100" spans="1:10" x14ac:dyDescent="0.2">
      <c r="A100" t="s">
        <v>6</v>
      </c>
      <c r="B100">
        <v>100</v>
      </c>
      <c r="C100">
        <v>1</v>
      </c>
      <c r="D100">
        <v>5</v>
      </c>
      <c r="G100" t="s">
        <v>19</v>
      </c>
      <c r="H100">
        <v>13.7872043984997</v>
      </c>
      <c r="I100">
        <v>3175.13288145773</v>
      </c>
      <c r="J100">
        <v>5</v>
      </c>
    </row>
    <row r="101" spans="1:10" x14ac:dyDescent="0.2">
      <c r="A101" t="s">
        <v>6</v>
      </c>
      <c r="B101">
        <v>93.686354378818734</v>
      </c>
      <c r="C101">
        <v>1</v>
      </c>
      <c r="D101">
        <v>5</v>
      </c>
      <c r="G101" t="s">
        <v>19</v>
      </c>
      <c r="H101">
        <v>11.964174463293199</v>
      </c>
      <c r="I101">
        <v>3029.92464940421</v>
      </c>
      <c r="J101">
        <v>5</v>
      </c>
    </row>
    <row r="102" spans="1:10" x14ac:dyDescent="0.2">
      <c r="A102" t="s">
        <v>6</v>
      </c>
      <c r="B102">
        <v>83.505154639175259</v>
      </c>
      <c r="C102">
        <v>1</v>
      </c>
      <c r="D102">
        <v>5</v>
      </c>
      <c r="G102" t="s">
        <v>19</v>
      </c>
      <c r="H102">
        <v>13.335577485923</v>
      </c>
      <c r="I102">
        <v>3434.3613659416601</v>
      </c>
      <c r="J102">
        <v>5</v>
      </c>
    </row>
    <row r="103" spans="1:10" x14ac:dyDescent="0.2">
      <c r="A103" t="s">
        <v>6</v>
      </c>
      <c r="B103">
        <v>92.222222222222229</v>
      </c>
      <c r="C103">
        <v>1</v>
      </c>
      <c r="D103">
        <v>5</v>
      </c>
      <c r="G103" t="s">
        <v>19</v>
      </c>
      <c r="H103">
        <v>10.252430365485701</v>
      </c>
      <c r="I103">
        <v>2242.0820776994101</v>
      </c>
      <c r="J103">
        <v>5</v>
      </c>
    </row>
    <row r="104" spans="1:10" x14ac:dyDescent="0.2">
      <c r="A104" t="s">
        <v>6</v>
      </c>
      <c r="B104">
        <v>71.333333333333343</v>
      </c>
      <c r="C104">
        <v>1</v>
      </c>
      <c r="D104">
        <v>5</v>
      </c>
      <c r="G104" t="s">
        <v>19</v>
      </c>
      <c r="H104">
        <v>13.898313965177501</v>
      </c>
      <c r="I104">
        <v>3517.5897630926402</v>
      </c>
      <c r="J104">
        <v>5</v>
      </c>
    </row>
    <row r="105" spans="1:10" x14ac:dyDescent="0.2">
      <c r="A105" t="s">
        <v>6</v>
      </c>
      <c r="B105">
        <v>95.370370370370367</v>
      </c>
      <c r="C105">
        <v>1</v>
      </c>
      <c r="D105">
        <v>5</v>
      </c>
      <c r="G105" t="s">
        <v>19</v>
      </c>
      <c r="H105">
        <v>11.6348999324823</v>
      </c>
      <c r="I105">
        <v>2406.6139369723401</v>
      </c>
      <c r="J105">
        <v>5</v>
      </c>
    </row>
    <row r="106" spans="1:10" x14ac:dyDescent="0.2">
      <c r="A106" t="s">
        <v>6</v>
      </c>
      <c r="B106">
        <v>85</v>
      </c>
      <c r="C106">
        <v>1</v>
      </c>
      <c r="D106">
        <v>5</v>
      </c>
      <c r="G106" t="s">
        <v>19</v>
      </c>
      <c r="H106">
        <v>10.200072872796699</v>
      </c>
      <c r="I106">
        <v>1858.0847398066001</v>
      </c>
      <c r="J106">
        <v>5</v>
      </c>
    </row>
    <row r="107" spans="1:10" x14ac:dyDescent="0.2">
      <c r="A107" t="s">
        <v>6</v>
      </c>
      <c r="B107">
        <v>86.170212765957444</v>
      </c>
      <c r="C107">
        <v>1</v>
      </c>
      <c r="D107">
        <v>5</v>
      </c>
      <c r="G107" t="s">
        <v>19</v>
      </c>
      <c r="H107">
        <v>15.0893161703929</v>
      </c>
      <c r="I107">
        <v>3891.7714546953698</v>
      </c>
      <c r="J107">
        <v>5</v>
      </c>
    </row>
    <row r="108" spans="1:10" x14ac:dyDescent="0.2">
      <c r="A108" t="s">
        <v>6</v>
      </c>
      <c r="B108">
        <v>95.588235294117652</v>
      </c>
      <c r="C108">
        <v>1</v>
      </c>
      <c r="D108">
        <v>5</v>
      </c>
      <c r="G108" t="s">
        <v>19</v>
      </c>
      <c r="H108">
        <v>11.723337968286801</v>
      </c>
      <c r="I108">
        <v>2793.3826572070798</v>
      </c>
      <c r="J108">
        <v>5</v>
      </c>
    </row>
    <row r="109" spans="1:10" x14ac:dyDescent="0.2">
      <c r="A109" t="s">
        <v>6</v>
      </c>
      <c r="B109">
        <v>66.331658291457288</v>
      </c>
      <c r="C109">
        <v>1</v>
      </c>
      <c r="D109">
        <v>5</v>
      </c>
      <c r="G109" t="s">
        <v>19</v>
      </c>
      <c r="H109">
        <v>10.3494306602005</v>
      </c>
      <c r="I109">
        <v>2296.7648713753401</v>
      </c>
      <c r="J109">
        <v>5</v>
      </c>
    </row>
    <row r="110" spans="1:10" x14ac:dyDescent="0.2">
      <c r="A110" t="s">
        <v>6</v>
      </c>
      <c r="B110">
        <v>99.0625</v>
      </c>
      <c r="C110">
        <v>1</v>
      </c>
      <c r="D110">
        <v>5</v>
      </c>
      <c r="G110" t="s">
        <v>23</v>
      </c>
      <c r="H110">
        <v>12.990546357920399</v>
      </c>
      <c r="I110">
        <v>3106.6948957929899</v>
      </c>
      <c r="J110">
        <v>5</v>
      </c>
    </row>
    <row r="111" spans="1:10" x14ac:dyDescent="0.2">
      <c r="A111" t="s">
        <v>6</v>
      </c>
      <c r="B111">
        <v>92.356687898089177</v>
      </c>
      <c r="C111">
        <v>1</v>
      </c>
      <c r="D111">
        <v>5</v>
      </c>
      <c r="G111" t="s">
        <v>23</v>
      </c>
      <c r="H111">
        <v>12.077511924828601</v>
      </c>
      <c r="I111">
        <v>2849.46453243205</v>
      </c>
      <c r="J111">
        <v>5</v>
      </c>
    </row>
    <row r="112" spans="1:10" x14ac:dyDescent="0.2">
      <c r="A112" t="s">
        <v>6</v>
      </c>
      <c r="B112">
        <v>94.680851063829792</v>
      </c>
      <c r="C112">
        <v>1</v>
      </c>
      <c r="D112">
        <v>5</v>
      </c>
      <c r="G112" t="s">
        <v>23</v>
      </c>
      <c r="H112">
        <v>14.298525017554301</v>
      </c>
      <c r="I112">
        <v>3565.4029632448101</v>
      </c>
      <c r="J112">
        <v>5</v>
      </c>
    </row>
    <row r="113" spans="1:10" x14ac:dyDescent="0.2">
      <c r="A113" t="s">
        <v>6</v>
      </c>
      <c r="B113">
        <v>91.75257731958763</v>
      </c>
      <c r="C113">
        <v>1</v>
      </c>
      <c r="D113">
        <v>5</v>
      </c>
      <c r="G113" t="s">
        <v>23</v>
      </c>
      <c r="H113">
        <v>11.1151547202664</v>
      </c>
      <c r="I113">
        <v>2676.6783205327301</v>
      </c>
      <c r="J113">
        <v>5</v>
      </c>
    </row>
    <row r="114" spans="1:10" x14ac:dyDescent="0.2">
      <c r="A114" t="s">
        <v>6</v>
      </c>
      <c r="B114">
        <v>89.10891089108911</v>
      </c>
      <c r="C114">
        <v>1</v>
      </c>
      <c r="D114">
        <v>5</v>
      </c>
      <c r="G114" t="s">
        <v>23</v>
      </c>
      <c r="H114">
        <v>14.3871440332336</v>
      </c>
      <c r="I114">
        <v>3451.3390439300501</v>
      </c>
      <c r="J114">
        <v>5</v>
      </c>
    </row>
    <row r="115" spans="1:10" x14ac:dyDescent="0.2">
      <c r="A115" t="s">
        <v>6</v>
      </c>
      <c r="B115">
        <v>87.61904761904762</v>
      </c>
      <c r="C115">
        <v>1</v>
      </c>
      <c r="D115">
        <v>5</v>
      </c>
      <c r="G115" t="s">
        <v>23</v>
      </c>
      <c r="H115">
        <v>12.273113249438699</v>
      </c>
      <c r="I115">
        <v>3199.5708869032601</v>
      </c>
      <c r="J115">
        <v>5</v>
      </c>
    </row>
    <row r="116" spans="1:10" x14ac:dyDescent="0.2">
      <c r="A116" t="s">
        <v>6</v>
      </c>
      <c r="B116">
        <v>90.502793296089393</v>
      </c>
      <c r="C116">
        <v>1</v>
      </c>
      <c r="D116">
        <v>5</v>
      </c>
      <c r="G116" t="s">
        <v>23</v>
      </c>
      <c r="H116">
        <v>12.1179471043609</v>
      </c>
      <c r="I116">
        <v>2882.0921528734402</v>
      </c>
      <c r="J116">
        <v>5</v>
      </c>
    </row>
    <row r="117" spans="1:10" x14ac:dyDescent="0.2">
      <c r="A117" t="s">
        <v>6</v>
      </c>
      <c r="B117">
        <v>98.536585365853654</v>
      </c>
      <c r="C117">
        <v>1</v>
      </c>
      <c r="D117">
        <v>5</v>
      </c>
      <c r="G117" t="s">
        <v>23</v>
      </c>
      <c r="H117">
        <v>11.0323557855617</v>
      </c>
      <c r="I117">
        <v>2768.6067083133798</v>
      </c>
      <c r="J117">
        <v>5</v>
      </c>
    </row>
    <row r="118" spans="1:10" x14ac:dyDescent="0.2">
      <c r="A118" t="s">
        <v>6</v>
      </c>
      <c r="B118">
        <v>89.615384615384613</v>
      </c>
      <c r="C118">
        <v>1</v>
      </c>
      <c r="D118">
        <v>5</v>
      </c>
      <c r="G118" t="s">
        <v>23</v>
      </c>
      <c r="H118">
        <v>12.5798732530536</v>
      </c>
      <c r="I118">
        <v>2836.0370810089398</v>
      </c>
      <c r="J118">
        <v>5</v>
      </c>
    </row>
    <row r="119" spans="1:10" x14ac:dyDescent="0.2">
      <c r="A119" t="s">
        <v>6</v>
      </c>
      <c r="B119">
        <v>68.94736842105263</v>
      </c>
      <c r="C119">
        <v>1</v>
      </c>
      <c r="D119">
        <v>5</v>
      </c>
      <c r="G119" t="s">
        <v>23</v>
      </c>
      <c r="H119">
        <v>13.0851429436182</v>
      </c>
      <c r="I119">
        <v>3082.2648948487499</v>
      </c>
      <c r="J119">
        <v>5</v>
      </c>
    </row>
    <row r="120" spans="1:10" x14ac:dyDescent="0.2">
      <c r="A120" t="s">
        <v>6</v>
      </c>
      <c r="B120">
        <v>92.592592592592595</v>
      </c>
      <c r="C120">
        <v>1</v>
      </c>
      <c r="D120">
        <v>5</v>
      </c>
      <c r="G120" t="s">
        <v>23</v>
      </c>
      <c r="H120">
        <v>11.889300644351801</v>
      </c>
      <c r="I120">
        <v>2488.8234112057999</v>
      </c>
      <c r="J120">
        <v>5</v>
      </c>
    </row>
    <row r="121" spans="1:10" x14ac:dyDescent="0.2">
      <c r="A121" t="s">
        <v>6</v>
      </c>
      <c r="B121">
        <v>69.819819819819813</v>
      </c>
      <c r="C121">
        <v>1</v>
      </c>
      <c r="D121">
        <v>5</v>
      </c>
      <c r="G121" t="s">
        <v>23</v>
      </c>
      <c r="H121">
        <v>12.460330265866</v>
      </c>
      <c r="I121">
        <v>3233.90926806077</v>
      </c>
      <c r="J121">
        <v>5</v>
      </c>
    </row>
    <row r="122" spans="1:10" x14ac:dyDescent="0.2">
      <c r="A122" t="s">
        <v>6</v>
      </c>
      <c r="B122">
        <v>100</v>
      </c>
      <c r="C122">
        <v>1</v>
      </c>
      <c r="D122">
        <v>5</v>
      </c>
      <c r="G122" t="s">
        <v>23</v>
      </c>
      <c r="H122">
        <v>11.6607587786033</v>
      </c>
      <c r="I122">
        <v>1296.0730336383599</v>
      </c>
      <c r="J122">
        <v>5</v>
      </c>
    </row>
    <row r="123" spans="1:10" x14ac:dyDescent="0.2">
      <c r="A123" t="s">
        <v>23</v>
      </c>
      <c r="B123">
        <v>84.188034188034194</v>
      </c>
      <c r="C123">
        <v>1</v>
      </c>
      <c r="D123">
        <v>5</v>
      </c>
      <c r="G123" t="s">
        <v>23</v>
      </c>
      <c r="H123">
        <v>9.8896482712674594</v>
      </c>
      <c r="I123">
        <v>2078.83843087284</v>
      </c>
      <c r="J123">
        <v>5</v>
      </c>
    </row>
    <row r="124" spans="1:10" x14ac:dyDescent="0.2">
      <c r="A124" t="s">
        <v>23</v>
      </c>
      <c r="B124">
        <v>100</v>
      </c>
      <c r="C124">
        <v>1</v>
      </c>
      <c r="D124">
        <v>5</v>
      </c>
      <c r="G124" t="s">
        <v>23</v>
      </c>
      <c r="H124">
        <v>15.2278187524947</v>
      </c>
      <c r="I124">
        <v>3617.2637201524299</v>
      </c>
      <c r="J124">
        <v>5</v>
      </c>
    </row>
    <row r="125" spans="1:10" x14ac:dyDescent="0.2">
      <c r="A125" t="s">
        <v>23</v>
      </c>
      <c r="B125">
        <v>95.336787564766837</v>
      </c>
      <c r="C125">
        <v>1</v>
      </c>
      <c r="D125">
        <v>5</v>
      </c>
      <c r="G125" t="s">
        <v>23</v>
      </c>
      <c r="H125">
        <v>8.9663280510073395</v>
      </c>
      <c r="I125">
        <v>1116.25280806926</v>
      </c>
      <c r="J125">
        <v>5</v>
      </c>
    </row>
    <row r="126" spans="1:10" x14ac:dyDescent="0.2">
      <c r="A126" t="s">
        <v>23</v>
      </c>
      <c r="B126">
        <v>100</v>
      </c>
      <c r="C126">
        <v>1</v>
      </c>
      <c r="D126">
        <v>5</v>
      </c>
      <c r="G126" t="s">
        <v>23</v>
      </c>
      <c r="H126">
        <v>10.405457844838301</v>
      </c>
      <c r="I126">
        <v>2309.7398931555899</v>
      </c>
      <c r="J126">
        <v>5</v>
      </c>
    </row>
    <row r="127" spans="1:10" x14ac:dyDescent="0.2">
      <c r="A127" t="s">
        <v>23</v>
      </c>
      <c r="B127">
        <v>93.5</v>
      </c>
      <c r="C127">
        <v>0</v>
      </c>
      <c r="D127">
        <v>5</v>
      </c>
      <c r="G127" t="s">
        <v>23</v>
      </c>
      <c r="H127">
        <v>13.632501185248399</v>
      </c>
      <c r="I127">
        <v>3310.6846426208199</v>
      </c>
      <c r="J127">
        <v>5</v>
      </c>
    </row>
    <row r="128" spans="1:10" x14ac:dyDescent="0.2">
      <c r="A128" t="s">
        <v>23</v>
      </c>
      <c r="B128">
        <v>95.42124542124543</v>
      </c>
      <c r="C128">
        <v>1</v>
      </c>
      <c r="D128">
        <v>5</v>
      </c>
      <c r="G128" t="s">
        <v>23</v>
      </c>
      <c r="H128">
        <v>13.125951077317399</v>
      </c>
      <c r="I128">
        <v>3162.86171250491</v>
      </c>
      <c r="J128">
        <v>5</v>
      </c>
    </row>
    <row r="129" spans="1:10" x14ac:dyDescent="0.2">
      <c r="A129" t="s">
        <v>23</v>
      </c>
      <c r="B129">
        <v>86.138613861386133</v>
      </c>
      <c r="C129">
        <v>1</v>
      </c>
      <c r="D129">
        <v>5</v>
      </c>
      <c r="G129" t="s">
        <v>23</v>
      </c>
      <c r="H129">
        <v>14.2062854602679</v>
      </c>
      <c r="I129">
        <v>3688.8114098156998</v>
      </c>
      <c r="J129">
        <v>5</v>
      </c>
    </row>
    <row r="130" spans="1:10" x14ac:dyDescent="0.2">
      <c r="A130" t="s">
        <v>23</v>
      </c>
      <c r="B130">
        <v>49.833333333333336</v>
      </c>
      <c r="C130">
        <v>0</v>
      </c>
      <c r="D130">
        <v>5</v>
      </c>
      <c r="G130" t="s">
        <v>23</v>
      </c>
      <c r="H130">
        <v>14.7254707594994</v>
      </c>
      <c r="I130">
        <v>3583.8836626952202</v>
      </c>
      <c r="J130">
        <v>5</v>
      </c>
    </row>
    <row r="131" spans="1:10" x14ac:dyDescent="0.2">
      <c r="A131" t="s">
        <v>23</v>
      </c>
      <c r="B131">
        <v>94.653465346534645</v>
      </c>
      <c r="C131">
        <v>1</v>
      </c>
      <c r="D131">
        <v>5</v>
      </c>
      <c r="G131" t="s">
        <v>23</v>
      </c>
      <c r="H131">
        <v>13.0197463068325</v>
      </c>
      <c r="I131">
        <v>3099.48857547326</v>
      </c>
      <c r="J131">
        <v>5</v>
      </c>
    </row>
    <row r="132" spans="1:10" x14ac:dyDescent="0.2">
      <c r="A132" t="s">
        <v>23</v>
      </c>
      <c r="B132">
        <v>100</v>
      </c>
      <c r="C132">
        <v>1</v>
      </c>
      <c r="D132">
        <v>5</v>
      </c>
      <c r="G132" t="s">
        <v>23</v>
      </c>
      <c r="H132">
        <v>15.248063216711</v>
      </c>
      <c r="I132">
        <v>4065.8747554736201</v>
      </c>
      <c r="J132">
        <v>5</v>
      </c>
    </row>
    <row r="133" spans="1:10" x14ac:dyDescent="0.2">
      <c r="A133" t="s">
        <v>23</v>
      </c>
      <c r="B133">
        <v>56.499999999999993</v>
      </c>
      <c r="C133">
        <v>0</v>
      </c>
      <c r="D133">
        <v>5</v>
      </c>
      <c r="G133" t="s">
        <v>23</v>
      </c>
      <c r="H133">
        <v>13.186486340368299</v>
      </c>
      <c r="I133">
        <v>3224.1282608465999</v>
      </c>
      <c r="J133">
        <v>5</v>
      </c>
    </row>
    <row r="134" spans="1:10" x14ac:dyDescent="0.2">
      <c r="A134" t="s">
        <v>23</v>
      </c>
      <c r="B134">
        <v>85.283018867924525</v>
      </c>
      <c r="C134">
        <v>1</v>
      </c>
      <c r="D134">
        <v>5</v>
      </c>
      <c r="G134" t="s">
        <v>6</v>
      </c>
      <c r="H134">
        <v>12.958460980726</v>
      </c>
      <c r="I134">
        <v>3493.7602678855801</v>
      </c>
      <c r="J134">
        <v>6</v>
      </c>
    </row>
    <row r="135" spans="1:10" x14ac:dyDescent="0.2">
      <c r="A135" t="s">
        <v>23</v>
      </c>
      <c r="B135">
        <v>88.461538461538453</v>
      </c>
      <c r="C135">
        <v>1</v>
      </c>
      <c r="D135">
        <v>5</v>
      </c>
      <c r="G135" t="s">
        <v>6</v>
      </c>
      <c r="H135">
        <v>15.852224436610401</v>
      </c>
      <c r="I135">
        <v>3980.5206772004399</v>
      </c>
      <c r="J135">
        <v>6</v>
      </c>
    </row>
    <row r="136" spans="1:10" x14ac:dyDescent="0.2">
      <c r="A136" t="s">
        <v>23</v>
      </c>
      <c r="B136">
        <v>75.333333333333329</v>
      </c>
      <c r="C136">
        <v>0</v>
      </c>
      <c r="D136">
        <v>5</v>
      </c>
      <c r="G136" t="s">
        <v>6</v>
      </c>
      <c r="H136">
        <v>17.182783929870499</v>
      </c>
      <c r="I136">
        <v>4414.9368721053297</v>
      </c>
      <c r="J136">
        <v>6</v>
      </c>
    </row>
    <row r="137" spans="1:10" x14ac:dyDescent="0.2">
      <c r="A137" t="s">
        <v>23</v>
      </c>
      <c r="B137">
        <v>81.547619047619051</v>
      </c>
      <c r="C137">
        <v>1</v>
      </c>
      <c r="D137">
        <v>5</v>
      </c>
      <c r="G137" t="s">
        <v>6</v>
      </c>
      <c r="H137">
        <v>15.8700086823594</v>
      </c>
      <c r="I137">
        <v>4193.0657953351001</v>
      </c>
      <c r="J137">
        <v>6</v>
      </c>
    </row>
    <row r="138" spans="1:10" x14ac:dyDescent="0.2">
      <c r="A138" t="s">
        <v>23</v>
      </c>
      <c r="B138">
        <v>92.48554913294798</v>
      </c>
      <c r="C138">
        <v>1</v>
      </c>
      <c r="D138">
        <v>5</v>
      </c>
      <c r="G138" t="s">
        <v>6</v>
      </c>
      <c r="H138">
        <v>15.555886739554101</v>
      </c>
      <c r="I138">
        <v>4045.9069256309499</v>
      </c>
      <c r="J138">
        <v>6</v>
      </c>
    </row>
    <row r="139" spans="1:10" x14ac:dyDescent="0.2">
      <c r="A139" t="s">
        <v>23</v>
      </c>
      <c r="B139">
        <v>84</v>
      </c>
      <c r="C139">
        <v>1</v>
      </c>
      <c r="D139">
        <v>5</v>
      </c>
      <c r="G139" t="s">
        <v>6</v>
      </c>
      <c r="H139">
        <v>15.8917377969081</v>
      </c>
      <c r="I139">
        <v>3285.5077933105099</v>
      </c>
      <c r="J139">
        <v>6</v>
      </c>
    </row>
    <row r="140" spans="1:10" x14ac:dyDescent="0.2">
      <c r="A140" t="s">
        <v>23</v>
      </c>
      <c r="B140">
        <v>95.73863636363636</v>
      </c>
      <c r="C140">
        <v>1</v>
      </c>
      <c r="D140">
        <v>5</v>
      </c>
      <c r="G140" t="s">
        <v>6</v>
      </c>
      <c r="H140">
        <v>17.384487349664699</v>
      </c>
      <c r="I140">
        <v>4511.8589129010197</v>
      </c>
      <c r="J140">
        <v>6</v>
      </c>
    </row>
    <row r="141" spans="1:10" x14ac:dyDescent="0.2">
      <c r="A141" t="s">
        <v>23</v>
      </c>
      <c r="B141">
        <v>88.94472361809045</v>
      </c>
      <c r="C141">
        <v>1</v>
      </c>
      <c r="D141">
        <v>5</v>
      </c>
      <c r="G141" t="s">
        <v>6</v>
      </c>
      <c r="H141">
        <v>14.197754046720901</v>
      </c>
      <c r="I141">
        <v>3947.9357323454401</v>
      </c>
      <c r="J141">
        <v>6</v>
      </c>
    </row>
    <row r="142" spans="1:10" x14ac:dyDescent="0.2">
      <c r="A142" t="s">
        <v>23</v>
      </c>
      <c r="B142">
        <v>100</v>
      </c>
      <c r="C142">
        <v>1</v>
      </c>
      <c r="D142">
        <v>5</v>
      </c>
      <c r="G142" t="s">
        <v>6</v>
      </c>
      <c r="H142">
        <v>15.876806625897199</v>
      </c>
      <c r="I142">
        <v>3992.9316125919299</v>
      </c>
      <c r="J142">
        <v>6</v>
      </c>
    </row>
    <row r="143" spans="1:10" x14ac:dyDescent="0.2">
      <c r="A143" t="s">
        <v>23</v>
      </c>
      <c r="B143">
        <v>98.857142857142861</v>
      </c>
      <c r="C143">
        <v>1</v>
      </c>
      <c r="D143">
        <v>5</v>
      </c>
      <c r="G143" t="s">
        <v>6</v>
      </c>
      <c r="H143">
        <v>13.1327964686882</v>
      </c>
      <c r="I143">
        <v>3336.2221071733502</v>
      </c>
      <c r="J143">
        <v>6</v>
      </c>
    </row>
    <row r="144" spans="1:10" x14ac:dyDescent="0.2">
      <c r="A144" t="s">
        <v>23</v>
      </c>
      <c r="B144">
        <v>92.5</v>
      </c>
      <c r="C144">
        <v>1</v>
      </c>
      <c r="D144">
        <v>5</v>
      </c>
      <c r="G144" t="s">
        <v>6</v>
      </c>
      <c r="H144">
        <v>13.014389009135099</v>
      </c>
      <c r="I144">
        <v>3161.5647918531499</v>
      </c>
      <c r="J144">
        <v>6</v>
      </c>
    </row>
    <row r="145" spans="1:10" x14ac:dyDescent="0.2">
      <c r="A145" t="s">
        <v>23</v>
      </c>
      <c r="B145">
        <v>96.969696969696969</v>
      </c>
      <c r="C145">
        <v>1</v>
      </c>
      <c r="D145">
        <v>5</v>
      </c>
      <c r="G145" t="s">
        <v>6</v>
      </c>
      <c r="H145">
        <v>15.2362565328239</v>
      </c>
      <c r="I145">
        <v>4128.5781452746596</v>
      </c>
      <c r="J145">
        <v>6</v>
      </c>
    </row>
    <row r="146" spans="1:10" x14ac:dyDescent="0.2">
      <c r="A146" t="s">
        <v>23</v>
      </c>
      <c r="B146">
        <v>93.023255813953483</v>
      </c>
      <c r="C146">
        <v>1</v>
      </c>
      <c r="D146">
        <v>5</v>
      </c>
      <c r="G146" t="s">
        <v>19</v>
      </c>
      <c r="H146">
        <v>13.756399855072299</v>
      </c>
      <c r="I146">
        <v>3703.5013749004202</v>
      </c>
      <c r="J146">
        <v>6</v>
      </c>
    </row>
    <row r="147" spans="1:10" x14ac:dyDescent="0.2">
      <c r="A147" t="s">
        <v>23</v>
      </c>
      <c r="B147">
        <v>89.473684210526315</v>
      </c>
      <c r="C147">
        <v>1</v>
      </c>
      <c r="D147">
        <v>5</v>
      </c>
      <c r="G147" t="s">
        <v>19</v>
      </c>
      <c r="H147">
        <v>12.051439579446701</v>
      </c>
      <c r="I147">
        <v>3141.02629779276</v>
      </c>
      <c r="J147">
        <v>6</v>
      </c>
    </row>
    <row r="148" spans="1:10" x14ac:dyDescent="0.2">
      <c r="A148" t="s">
        <v>23</v>
      </c>
      <c r="B148">
        <v>70.103092783505147</v>
      </c>
      <c r="C148">
        <v>1</v>
      </c>
      <c r="D148">
        <v>5</v>
      </c>
      <c r="G148" t="s">
        <v>19</v>
      </c>
      <c r="H148">
        <v>15.459342520882499</v>
      </c>
      <c r="I148">
        <v>4317.3719952017</v>
      </c>
      <c r="J148">
        <v>6</v>
      </c>
    </row>
    <row r="149" spans="1:10" x14ac:dyDescent="0.2">
      <c r="A149" t="s">
        <v>23</v>
      </c>
      <c r="B149">
        <v>97.385620915032675</v>
      </c>
      <c r="C149">
        <v>1</v>
      </c>
      <c r="D149">
        <v>5</v>
      </c>
      <c r="G149" t="s">
        <v>19</v>
      </c>
      <c r="H149">
        <v>16.5054187568279</v>
      </c>
      <c r="I149">
        <v>4355.9281189974299</v>
      </c>
      <c r="J149">
        <v>6</v>
      </c>
    </row>
    <row r="150" spans="1:10" x14ac:dyDescent="0.2">
      <c r="A150" t="s">
        <v>23</v>
      </c>
      <c r="B150">
        <v>86.666666666666671</v>
      </c>
      <c r="C150">
        <v>1</v>
      </c>
      <c r="D150">
        <v>5</v>
      </c>
      <c r="G150" t="s">
        <v>19</v>
      </c>
      <c r="H150">
        <v>14.692236866992101</v>
      </c>
      <c r="I150">
        <v>3921.88539270707</v>
      </c>
      <c r="J150">
        <v>6</v>
      </c>
    </row>
    <row r="151" spans="1:10" x14ac:dyDescent="0.2">
      <c r="A151" t="s">
        <v>23</v>
      </c>
      <c r="B151">
        <v>92.622950819672127</v>
      </c>
      <c r="C151">
        <v>1</v>
      </c>
      <c r="D151">
        <v>5</v>
      </c>
      <c r="G151" t="s">
        <v>19</v>
      </c>
      <c r="H151">
        <v>12.0873680099068</v>
      </c>
      <c r="I151">
        <v>3143.2752541366399</v>
      </c>
      <c r="J151">
        <v>6</v>
      </c>
    </row>
    <row r="152" spans="1:10" x14ac:dyDescent="0.2">
      <c r="A152" t="s">
        <v>23</v>
      </c>
      <c r="B152">
        <v>100</v>
      </c>
      <c r="C152">
        <v>1</v>
      </c>
      <c r="D152">
        <v>5</v>
      </c>
      <c r="G152" t="s">
        <v>19</v>
      </c>
      <c r="H152">
        <v>14.150117525612201</v>
      </c>
      <c r="I152">
        <v>3595.3736382770198</v>
      </c>
      <c r="J152">
        <v>6</v>
      </c>
    </row>
    <row r="153" spans="1:10" x14ac:dyDescent="0.2">
      <c r="A153" t="s">
        <v>23</v>
      </c>
      <c r="B153">
        <v>6.3333333333333339</v>
      </c>
      <c r="C153">
        <v>0</v>
      </c>
      <c r="D153">
        <v>6</v>
      </c>
      <c r="G153" t="s">
        <v>19</v>
      </c>
      <c r="H153">
        <v>11.6995208231713</v>
      </c>
      <c r="I153">
        <v>2566.9710313994601</v>
      </c>
      <c r="J153">
        <v>6</v>
      </c>
    </row>
    <row r="154" spans="1:10" x14ac:dyDescent="0.2">
      <c r="A154" t="s">
        <v>23</v>
      </c>
      <c r="B154">
        <v>82.333333333333343</v>
      </c>
      <c r="C154">
        <v>0</v>
      </c>
      <c r="D154">
        <v>6</v>
      </c>
      <c r="G154" t="s">
        <v>19</v>
      </c>
      <c r="H154">
        <v>13.3371017376111</v>
      </c>
      <c r="I154">
        <v>3340.55123376343</v>
      </c>
      <c r="J154">
        <v>6</v>
      </c>
    </row>
    <row r="155" spans="1:10" x14ac:dyDescent="0.2">
      <c r="A155" t="s">
        <v>23</v>
      </c>
      <c r="B155">
        <v>73.666666666666671</v>
      </c>
      <c r="C155">
        <v>0</v>
      </c>
      <c r="D155">
        <v>6</v>
      </c>
      <c r="G155" t="s">
        <v>19</v>
      </c>
      <c r="H155">
        <v>13.172234272367399</v>
      </c>
      <c r="I155">
        <v>2754.81505436815</v>
      </c>
      <c r="J155">
        <v>6</v>
      </c>
    </row>
    <row r="156" spans="1:10" x14ac:dyDescent="0.2">
      <c r="A156" t="s">
        <v>23</v>
      </c>
      <c r="B156">
        <v>66.833333333333329</v>
      </c>
      <c r="C156">
        <v>0</v>
      </c>
      <c r="D156">
        <v>6</v>
      </c>
      <c r="G156" t="s">
        <v>19</v>
      </c>
      <c r="H156">
        <v>10.750940030158</v>
      </c>
      <c r="I156">
        <v>2068.6089405160401</v>
      </c>
      <c r="J156">
        <v>6</v>
      </c>
    </row>
    <row r="157" spans="1:10" x14ac:dyDescent="0.2">
      <c r="A157" t="s">
        <v>23</v>
      </c>
      <c r="B157">
        <v>86</v>
      </c>
      <c r="C157">
        <v>0</v>
      </c>
      <c r="D157">
        <v>6</v>
      </c>
      <c r="G157" t="s">
        <v>19</v>
      </c>
      <c r="H157">
        <v>15.0700540308179</v>
      </c>
      <c r="I157">
        <v>3921.0801470850402</v>
      </c>
      <c r="J157">
        <v>6</v>
      </c>
    </row>
    <row r="158" spans="1:10" x14ac:dyDescent="0.2">
      <c r="A158" t="s">
        <v>23</v>
      </c>
      <c r="B158">
        <v>70.333333333333343</v>
      </c>
      <c r="C158">
        <v>0</v>
      </c>
      <c r="D158">
        <v>6</v>
      </c>
      <c r="G158" t="s">
        <v>23</v>
      </c>
      <c r="H158">
        <v>9.7572843081986207</v>
      </c>
      <c r="I158">
        <v>2159.266187661</v>
      </c>
      <c r="J158">
        <v>6</v>
      </c>
    </row>
    <row r="159" spans="1:10" x14ac:dyDescent="0.2">
      <c r="A159" t="s">
        <v>23</v>
      </c>
      <c r="B159">
        <v>70</v>
      </c>
      <c r="C159">
        <v>0</v>
      </c>
      <c r="D159">
        <v>6</v>
      </c>
      <c r="G159" t="s">
        <v>23</v>
      </c>
      <c r="H159">
        <v>7.6978420666540996</v>
      </c>
      <c r="I159">
        <v>1504.5456452528599</v>
      </c>
      <c r="J159">
        <v>6</v>
      </c>
    </row>
    <row r="160" spans="1:10" x14ac:dyDescent="0.2">
      <c r="A160" t="s">
        <v>23</v>
      </c>
      <c r="B160">
        <v>70</v>
      </c>
      <c r="C160">
        <v>0</v>
      </c>
      <c r="D160">
        <v>6</v>
      </c>
      <c r="G160" t="s">
        <v>23</v>
      </c>
      <c r="H160">
        <v>9.2211540535435699</v>
      </c>
      <c r="I160">
        <v>1983.96345346215</v>
      </c>
      <c r="J160">
        <v>6</v>
      </c>
    </row>
    <row r="161" spans="1:10" x14ac:dyDescent="0.2">
      <c r="A161" t="s">
        <v>23</v>
      </c>
      <c r="B161">
        <v>45.666666666666664</v>
      </c>
      <c r="C161">
        <v>0</v>
      </c>
      <c r="D161">
        <v>6</v>
      </c>
      <c r="G161" t="s">
        <v>23</v>
      </c>
      <c r="H161">
        <v>7.0354028201837</v>
      </c>
      <c r="I161">
        <v>779.78398075120299</v>
      </c>
      <c r="J161">
        <v>6</v>
      </c>
    </row>
    <row r="162" spans="1:10" x14ac:dyDescent="0.2">
      <c r="A162" t="s">
        <v>23</v>
      </c>
      <c r="B162">
        <v>90.166666666666657</v>
      </c>
      <c r="C162">
        <v>0</v>
      </c>
      <c r="D162">
        <v>6</v>
      </c>
      <c r="G162" t="s">
        <v>23</v>
      </c>
      <c r="H162">
        <v>7.4492544854063398</v>
      </c>
      <c r="I162">
        <v>442.80983958716001</v>
      </c>
      <c r="J162">
        <v>6</v>
      </c>
    </row>
    <row r="163" spans="1:10" x14ac:dyDescent="0.2">
      <c r="A163" t="s">
        <v>23</v>
      </c>
      <c r="B163">
        <v>83.5</v>
      </c>
      <c r="C163">
        <v>0</v>
      </c>
      <c r="D163">
        <v>6</v>
      </c>
      <c r="G163" t="s">
        <v>23</v>
      </c>
      <c r="H163">
        <v>9.2764676680337406</v>
      </c>
      <c r="I163">
        <v>784.10116622161604</v>
      </c>
      <c r="J163">
        <v>6</v>
      </c>
    </row>
    <row r="164" spans="1:10" x14ac:dyDescent="0.2">
      <c r="A164" t="s">
        <v>23</v>
      </c>
      <c r="B164">
        <v>100</v>
      </c>
      <c r="C164">
        <v>1</v>
      </c>
      <c r="D164">
        <v>6</v>
      </c>
      <c r="G164" t="s">
        <v>23</v>
      </c>
      <c r="H164">
        <v>16.777266713477999</v>
      </c>
      <c r="I164">
        <v>631.41346481539199</v>
      </c>
      <c r="J164">
        <v>6</v>
      </c>
    </row>
    <row r="165" spans="1:10" x14ac:dyDescent="0.2">
      <c r="A165" t="s">
        <v>23</v>
      </c>
      <c r="B165">
        <v>27.166666666666668</v>
      </c>
      <c r="C165">
        <v>0</v>
      </c>
      <c r="D165">
        <v>6</v>
      </c>
      <c r="G165" t="s">
        <v>23</v>
      </c>
      <c r="H165">
        <v>8.0831087560724306</v>
      </c>
      <c r="I165">
        <v>712.96407534866103</v>
      </c>
      <c r="J165">
        <v>6</v>
      </c>
    </row>
    <row r="166" spans="1:10" x14ac:dyDescent="0.2">
      <c r="A166" t="s">
        <v>23</v>
      </c>
      <c r="B166">
        <v>69.833333333333343</v>
      </c>
      <c r="C166">
        <v>0</v>
      </c>
      <c r="D166">
        <v>6</v>
      </c>
      <c r="G166" t="s">
        <v>23</v>
      </c>
      <c r="H166">
        <v>7.7553381220413504</v>
      </c>
      <c r="I166">
        <v>1353.7420674755499</v>
      </c>
      <c r="J166">
        <v>6</v>
      </c>
    </row>
    <row r="167" spans="1:10" x14ac:dyDescent="0.2">
      <c r="A167" t="s">
        <v>23</v>
      </c>
      <c r="B167">
        <v>95.333333333333343</v>
      </c>
      <c r="C167">
        <v>0</v>
      </c>
      <c r="D167">
        <v>6</v>
      </c>
      <c r="G167" t="s">
        <v>23</v>
      </c>
      <c r="H167">
        <v>7.7925783496515999</v>
      </c>
      <c r="I167">
        <v>655.48947058727094</v>
      </c>
      <c r="J167">
        <v>6</v>
      </c>
    </row>
    <row r="168" spans="1:10" x14ac:dyDescent="0.2">
      <c r="A168" t="s">
        <v>23</v>
      </c>
      <c r="B168">
        <v>2.166666666666667</v>
      </c>
      <c r="C168">
        <v>0</v>
      </c>
      <c r="D168">
        <v>6</v>
      </c>
      <c r="G168" t="s">
        <v>23</v>
      </c>
      <c r="H168">
        <v>10.8982293970241</v>
      </c>
      <c r="I168">
        <v>911.67102331336901</v>
      </c>
      <c r="J168">
        <v>6</v>
      </c>
    </row>
    <row r="169" spans="1:10" x14ac:dyDescent="0.2">
      <c r="A169" t="s">
        <v>23</v>
      </c>
      <c r="B169">
        <v>5.833333333333333</v>
      </c>
      <c r="C169">
        <v>0</v>
      </c>
      <c r="D169">
        <v>6</v>
      </c>
      <c r="G169" t="s">
        <v>23</v>
      </c>
      <c r="H169">
        <v>9.7228772997438195</v>
      </c>
      <c r="I169">
        <v>1095.5051444181599</v>
      </c>
      <c r="J169">
        <v>6</v>
      </c>
    </row>
    <row r="170" spans="1:10" x14ac:dyDescent="0.2">
      <c r="A170" t="s">
        <v>23</v>
      </c>
      <c r="B170">
        <v>26.5</v>
      </c>
      <c r="C170">
        <v>0</v>
      </c>
      <c r="D170">
        <v>6</v>
      </c>
      <c r="G170" t="s">
        <v>23</v>
      </c>
      <c r="H170">
        <v>9.3586565581161203</v>
      </c>
      <c r="I170">
        <v>915.948775712768</v>
      </c>
      <c r="J170">
        <v>6</v>
      </c>
    </row>
    <row r="171" spans="1:10" x14ac:dyDescent="0.2">
      <c r="A171" t="s">
        <v>23</v>
      </c>
      <c r="B171">
        <v>4.3333333333333339</v>
      </c>
      <c r="C171">
        <v>0</v>
      </c>
      <c r="D171">
        <v>6</v>
      </c>
      <c r="G171" t="s">
        <v>23</v>
      </c>
      <c r="H171">
        <v>8.8762996335434998</v>
      </c>
      <c r="I171">
        <v>884.98716488400498</v>
      </c>
      <c r="J171">
        <v>6</v>
      </c>
    </row>
    <row r="172" spans="1:10" x14ac:dyDescent="0.2">
      <c r="A172" t="s">
        <v>23</v>
      </c>
      <c r="B172">
        <v>67.166666666666657</v>
      </c>
      <c r="C172">
        <v>0</v>
      </c>
      <c r="D172">
        <v>6</v>
      </c>
      <c r="G172" t="s">
        <v>23</v>
      </c>
      <c r="H172">
        <v>16.859700921365398</v>
      </c>
      <c r="I172">
        <v>283.587684391106</v>
      </c>
      <c r="J172">
        <v>6</v>
      </c>
    </row>
    <row r="173" spans="1:10" x14ac:dyDescent="0.2">
      <c r="A173" t="s">
        <v>23</v>
      </c>
      <c r="B173">
        <v>95.166666666666671</v>
      </c>
      <c r="C173">
        <v>0</v>
      </c>
      <c r="D173">
        <v>6</v>
      </c>
      <c r="G173" t="s">
        <v>23</v>
      </c>
      <c r="H173">
        <v>13.0625552616942</v>
      </c>
      <c r="I173">
        <v>3169.6089739177901</v>
      </c>
      <c r="J173">
        <v>6</v>
      </c>
    </row>
    <row r="174" spans="1:10" x14ac:dyDescent="0.2">
      <c r="A174" t="s">
        <v>23</v>
      </c>
      <c r="B174">
        <v>31.5</v>
      </c>
      <c r="C174">
        <v>0</v>
      </c>
      <c r="D174">
        <v>6</v>
      </c>
    </row>
    <row r="175" spans="1:10" x14ac:dyDescent="0.2">
      <c r="A175" t="s">
        <v>23</v>
      </c>
      <c r="B175">
        <v>4.666666666666667</v>
      </c>
      <c r="C175">
        <v>0</v>
      </c>
      <c r="D175">
        <v>6</v>
      </c>
    </row>
    <row r="176" spans="1:10" x14ac:dyDescent="0.2">
      <c r="A176" t="s">
        <v>23</v>
      </c>
      <c r="B176">
        <v>84.5</v>
      </c>
      <c r="C176">
        <v>0</v>
      </c>
      <c r="D176">
        <v>6</v>
      </c>
    </row>
    <row r="177" spans="1:4" x14ac:dyDescent="0.2">
      <c r="A177" t="s">
        <v>23</v>
      </c>
      <c r="B177">
        <v>91.666666666666657</v>
      </c>
      <c r="C177">
        <v>0</v>
      </c>
      <c r="D177">
        <v>6</v>
      </c>
    </row>
    <row r="178" spans="1:4" x14ac:dyDescent="0.2">
      <c r="A178" t="s">
        <v>19</v>
      </c>
      <c r="B178">
        <v>89.333333333333329</v>
      </c>
      <c r="C178">
        <v>1</v>
      </c>
      <c r="D178">
        <v>6</v>
      </c>
    </row>
    <row r="179" spans="1:4" x14ac:dyDescent="0.2">
      <c r="A179" t="s">
        <v>19</v>
      </c>
      <c r="B179">
        <v>100</v>
      </c>
      <c r="C179">
        <v>1</v>
      </c>
      <c r="D179">
        <v>6</v>
      </c>
    </row>
    <row r="180" spans="1:4" x14ac:dyDescent="0.2">
      <c r="A180" t="s">
        <v>19</v>
      </c>
      <c r="B180">
        <v>97.61904761904762</v>
      </c>
      <c r="C180">
        <v>1</v>
      </c>
      <c r="D180">
        <v>6</v>
      </c>
    </row>
    <row r="181" spans="1:4" x14ac:dyDescent="0.2">
      <c r="A181" t="s">
        <v>19</v>
      </c>
      <c r="B181">
        <v>78.817733990147786</v>
      </c>
      <c r="C181">
        <v>1</v>
      </c>
      <c r="D181">
        <v>6</v>
      </c>
    </row>
    <row r="182" spans="1:4" x14ac:dyDescent="0.2">
      <c r="A182" t="s">
        <v>19</v>
      </c>
      <c r="B182">
        <v>94.285714285714278</v>
      </c>
      <c r="C182">
        <v>1</v>
      </c>
      <c r="D182">
        <v>6</v>
      </c>
    </row>
    <row r="183" spans="1:4" x14ac:dyDescent="0.2">
      <c r="A183" t="s">
        <v>19</v>
      </c>
      <c r="B183">
        <v>95.108695652173907</v>
      </c>
      <c r="C183">
        <v>1</v>
      </c>
      <c r="D183">
        <v>6</v>
      </c>
    </row>
    <row r="184" spans="1:4" x14ac:dyDescent="0.2">
      <c r="A184" t="s">
        <v>19</v>
      </c>
      <c r="B184">
        <v>97.5</v>
      </c>
      <c r="C184">
        <v>1</v>
      </c>
      <c r="D184">
        <v>6</v>
      </c>
    </row>
    <row r="185" spans="1:4" x14ac:dyDescent="0.2">
      <c r="A185" t="s">
        <v>19</v>
      </c>
      <c r="B185">
        <v>79.372197309417032</v>
      </c>
      <c r="C185">
        <v>1</v>
      </c>
      <c r="D185">
        <v>6</v>
      </c>
    </row>
    <row r="186" spans="1:4" x14ac:dyDescent="0.2">
      <c r="A186" t="s">
        <v>19</v>
      </c>
      <c r="B186">
        <v>85.714285714285708</v>
      </c>
      <c r="C186">
        <v>1</v>
      </c>
      <c r="D186">
        <v>6</v>
      </c>
    </row>
    <row r="187" spans="1:4" x14ac:dyDescent="0.2">
      <c r="A187" t="s">
        <v>19</v>
      </c>
      <c r="B187">
        <v>98.689956331877724</v>
      </c>
      <c r="C187">
        <v>1</v>
      </c>
      <c r="D187">
        <v>6</v>
      </c>
    </row>
    <row r="188" spans="1:4" x14ac:dyDescent="0.2">
      <c r="A188" t="s">
        <v>19</v>
      </c>
      <c r="B188">
        <v>95.384615384615387</v>
      </c>
      <c r="C188">
        <v>1</v>
      </c>
      <c r="D188">
        <v>6</v>
      </c>
    </row>
    <row r="189" spans="1:4" x14ac:dyDescent="0.2">
      <c r="A189" t="s">
        <v>19</v>
      </c>
      <c r="B189">
        <v>84.381778741865503</v>
      </c>
      <c r="C189">
        <v>1</v>
      </c>
      <c r="D189">
        <v>6</v>
      </c>
    </row>
    <row r="190" spans="1:4" x14ac:dyDescent="0.2">
      <c r="A190" t="s">
        <v>19</v>
      </c>
      <c r="B190">
        <v>92.972972972972983</v>
      </c>
      <c r="C190">
        <v>1</v>
      </c>
      <c r="D190">
        <v>6</v>
      </c>
    </row>
    <row r="191" spans="1:4" x14ac:dyDescent="0.2">
      <c r="A191" t="s">
        <v>19</v>
      </c>
      <c r="B191">
        <v>100</v>
      </c>
      <c r="C191">
        <v>1</v>
      </c>
      <c r="D191">
        <v>6</v>
      </c>
    </row>
    <row r="192" spans="1:4" x14ac:dyDescent="0.2">
      <c r="A192" t="s">
        <v>19</v>
      </c>
      <c r="B192">
        <v>98.214285714285708</v>
      </c>
      <c r="C192">
        <v>1</v>
      </c>
      <c r="D192">
        <v>6</v>
      </c>
    </row>
    <row r="193" spans="1:4" x14ac:dyDescent="0.2">
      <c r="A193" t="s">
        <v>19</v>
      </c>
      <c r="B193">
        <v>78.531073446327682</v>
      </c>
      <c r="C193">
        <v>1</v>
      </c>
      <c r="D193">
        <v>6</v>
      </c>
    </row>
    <row r="194" spans="1:4" x14ac:dyDescent="0.2">
      <c r="A194" t="s">
        <v>19</v>
      </c>
      <c r="B194">
        <v>93.877551020408163</v>
      </c>
      <c r="C194">
        <v>1</v>
      </c>
      <c r="D194">
        <v>6</v>
      </c>
    </row>
    <row r="195" spans="1:4" x14ac:dyDescent="0.2">
      <c r="A195" t="s">
        <v>19</v>
      </c>
      <c r="B195">
        <v>96.913580246913583</v>
      </c>
      <c r="C195">
        <v>1</v>
      </c>
      <c r="D195">
        <v>6</v>
      </c>
    </row>
    <row r="196" spans="1:4" x14ac:dyDescent="0.2">
      <c r="A196" t="s">
        <v>19</v>
      </c>
      <c r="B196">
        <v>80.512820512820511</v>
      </c>
      <c r="C196">
        <v>1</v>
      </c>
      <c r="D196">
        <v>6</v>
      </c>
    </row>
    <row r="197" spans="1:4" x14ac:dyDescent="0.2">
      <c r="A197" t="s">
        <v>19</v>
      </c>
      <c r="B197">
        <v>89.782244556113895</v>
      </c>
      <c r="C197">
        <v>1</v>
      </c>
      <c r="D197">
        <v>6</v>
      </c>
    </row>
    <row r="198" spans="1:4" x14ac:dyDescent="0.2">
      <c r="A198" t="s">
        <v>19</v>
      </c>
      <c r="B198">
        <v>86.574074074074076</v>
      </c>
      <c r="C198">
        <v>1</v>
      </c>
      <c r="D198">
        <v>6</v>
      </c>
    </row>
    <row r="199" spans="1:4" x14ac:dyDescent="0.2">
      <c r="A199" t="s">
        <v>19</v>
      </c>
      <c r="B199">
        <v>100</v>
      </c>
      <c r="C199">
        <v>1</v>
      </c>
      <c r="D199">
        <v>6</v>
      </c>
    </row>
    <row r="200" spans="1:4" x14ac:dyDescent="0.2">
      <c r="A200" t="s">
        <v>6</v>
      </c>
      <c r="B200">
        <v>100</v>
      </c>
      <c r="C200">
        <v>1</v>
      </c>
      <c r="D200">
        <v>6</v>
      </c>
    </row>
    <row r="201" spans="1:4" x14ac:dyDescent="0.2">
      <c r="A201" t="s">
        <v>6</v>
      </c>
      <c r="B201">
        <v>84.5</v>
      </c>
      <c r="C201">
        <v>1</v>
      </c>
      <c r="D201">
        <v>6</v>
      </c>
    </row>
    <row r="202" spans="1:4" x14ac:dyDescent="0.2">
      <c r="A202" t="s">
        <v>6</v>
      </c>
      <c r="B202">
        <v>91.366906474820141</v>
      </c>
      <c r="C202">
        <v>1</v>
      </c>
      <c r="D202">
        <v>6</v>
      </c>
    </row>
    <row r="203" spans="1:4" x14ac:dyDescent="0.2">
      <c r="A203" t="s">
        <v>6</v>
      </c>
      <c r="B203">
        <v>57.142857142857139</v>
      </c>
      <c r="C203">
        <v>1</v>
      </c>
      <c r="D203">
        <v>6</v>
      </c>
    </row>
    <row r="204" spans="1:4" x14ac:dyDescent="0.2">
      <c r="A204" t="s">
        <v>6</v>
      </c>
      <c r="B204">
        <v>94.933920704845818</v>
      </c>
      <c r="C204">
        <v>1</v>
      </c>
      <c r="D204">
        <v>6</v>
      </c>
    </row>
    <row r="205" spans="1:4" x14ac:dyDescent="0.2">
      <c r="A205" t="s">
        <v>6</v>
      </c>
      <c r="B205">
        <v>92.833333333333329</v>
      </c>
      <c r="C205">
        <v>1</v>
      </c>
      <c r="D205">
        <v>6</v>
      </c>
    </row>
    <row r="206" spans="1:4" x14ac:dyDescent="0.2">
      <c r="A206" t="s">
        <v>6</v>
      </c>
      <c r="B206">
        <v>71.232876712328761</v>
      </c>
      <c r="C206">
        <v>1</v>
      </c>
      <c r="D206">
        <v>6</v>
      </c>
    </row>
    <row r="207" spans="1:4" x14ac:dyDescent="0.2">
      <c r="A207" t="s">
        <v>6</v>
      </c>
      <c r="B207">
        <v>100</v>
      </c>
      <c r="C207">
        <v>1</v>
      </c>
      <c r="D207">
        <v>6</v>
      </c>
    </row>
    <row r="208" spans="1:4" x14ac:dyDescent="0.2">
      <c r="A208" t="s">
        <v>6</v>
      </c>
      <c r="B208">
        <v>90.243902439024396</v>
      </c>
      <c r="C208">
        <v>1</v>
      </c>
      <c r="D208">
        <v>6</v>
      </c>
    </row>
    <row r="209" spans="1:4" x14ac:dyDescent="0.2">
      <c r="A209" t="s">
        <v>6</v>
      </c>
      <c r="B209">
        <v>100</v>
      </c>
      <c r="C209">
        <v>1</v>
      </c>
      <c r="D209">
        <v>6</v>
      </c>
    </row>
    <row r="210" spans="1:4" x14ac:dyDescent="0.2">
      <c r="A210" t="s">
        <v>6</v>
      </c>
      <c r="B210">
        <v>77.777777777777786</v>
      </c>
      <c r="C210">
        <v>1</v>
      </c>
      <c r="D210">
        <v>6</v>
      </c>
    </row>
    <row r="211" spans="1:4" x14ac:dyDescent="0.2">
      <c r="A211" t="s">
        <v>6</v>
      </c>
      <c r="B211">
        <v>78.378378378378372</v>
      </c>
      <c r="C211">
        <v>1</v>
      </c>
      <c r="D211">
        <v>6</v>
      </c>
    </row>
    <row r="212" spans="1:4" x14ac:dyDescent="0.2">
      <c r="A212" t="s">
        <v>6</v>
      </c>
      <c r="B212">
        <v>98</v>
      </c>
      <c r="C212">
        <v>1</v>
      </c>
      <c r="D212">
        <v>6</v>
      </c>
    </row>
    <row r="213" spans="1:4" x14ac:dyDescent="0.2">
      <c r="A213" t="s">
        <v>6</v>
      </c>
      <c r="B213">
        <v>99.166666666666671</v>
      </c>
      <c r="C213">
        <v>1</v>
      </c>
      <c r="D213">
        <v>6</v>
      </c>
    </row>
    <row r="214" spans="1:4" x14ac:dyDescent="0.2">
      <c r="A214" t="s">
        <v>6</v>
      </c>
      <c r="B214">
        <v>96.666666666666671</v>
      </c>
      <c r="C214">
        <v>1</v>
      </c>
      <c r="D214">
        <v>6</v>
      </c>
    </row>
    <row r="215" spans="1:4" x14ac:dyDescent="0.2">
      <c r="A215" t="s">
        <v>6</v>
      </c>
      <c r="B215">
        <v>97.841726618705039</v>
      </c>
      <c r="C215">
        <v>1</v>
      </c>
      <c r="D215">
        <v>6</v>
      </c>
    </row>
    <row r="216" spans="1:4" x14ac:dyDescent="0.2">
      <c r="A216" t="s">
        <v>6</v>
      </c>
      <c r="B216">
        <v>76.489028213166137</v>
      </c>
      <c r="C216">
        <v>1</v>
      </c>
      <c r="D216">
        <v>6</v>
      </c>
    </row>
    <row r="217" spans="1:4" x14ac:dyDescent="0.2">
      <c r="A217" t="s">
        <v>6</v>
      </c>
      <c r="B217">
        <v>94.915254237288138</v>
      </c>
      <c r="C217">
        <v>1</v>
      </c>
      <c r="D217">
        <v>6</v>
      </c>
    </row>
    <row r="218" spans="1:4" x14ac:dyDescent="0.2">
      <c r="A218" t="s">
        <v>6</v>
      </c>
      <c r="B218">
        <v>97.260273972602747</v>
      </c>
      <c r="C218">
        <v>1</v>
      </c>
      <c r="D218">
        <v>6</v>
      </c>
    </row>
    <row r="219" spans="1:4" x14ac:dyDescent="0.2">
      <c r="A219" t="s">
        <v>6</v>
      </c>
      <c r="B219">
        <v>97.041420118343197</v>
      </c>
      <c r="C219">
        <v>1</v>
      </c>
      <c r="D219">
        <v>6</v>
      </c>
    </row>
    <row r="220" spans="1:4" x14ac:dyDescent="0.2">
      <c r="A220" t="s">
        <v>6</v>
      </c>
      <c r="B220">
        <v>90.654205607476641</v>
      </c>
      <c r="C220">
        <v>1</v>
      </c>
      <c r="D220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AB8A1-5217-BD49-B20D-FC0C9491FC03}">
  <dimension ref="A1:I151"/>
  <sheetViews>
    <sheetView workbookViewId="0">
      <selection activeCell="K18" sqref="K18"/>
    </sheetView>
  </sheetViews>
  <sheetFormatPr baseColWidth="10" defaultRowHeight="16" x14ac:dyDescent="0.2"/>
  <sheetData>
    <row r="1" spans="1:9" x14ac:dyDescent="0.2">
      <c r="A1" t="s">
        <v>17</v>
      </c>
      <c r="B1" t="s">
        <v>51</v>
      </c>
      <c r="C1" t="s">
        <v>27</v>
      </c>
      <c r="F1" t="s">
        <v>17</v>
      </c>
      <c r="G1" t="s">
        <v>13</v>
      </c>
      <c r="H1" t="s">
        <v>20</v>
      </c>
      <c r="I1" t="s">
        <v>66</v>
      </c>
    </row>
    <row r="2" spans="1:9" x14ac:dyDescent="0.2">
      <c r="A2" t="s">
        <v>19</v>
      </c>
      <c r="B2">
        <v>20</v>
      </c>
      <c r="C2">
        <v>0</v>
      </c>
      <c r="F2" t="s">
        <v>6</v>
      </c>
      <c r="G2">
        <v>83</v>
      </c>
      <c r="H2">
        <v>1</v>
      </c>
      <c r="I2">
        <v>0.01</v>
      </c>
    </row>
    <row r="3" spans="1:9" x14ac:dyDescent="0.2">
      <c r="A3" t="s">
        <v>19</v>
      </c>
      <c r="B3">
        <v>20</v>
      </c>
      <c r="C3">
        <v>0</v>
      </c>
      <c r="F3" t="s">
        <v>6</v>
      </c>
      <c r="G3">
        <v>91.525423728813564</v>
      </c>
      <c r="H3">
        <v>1</v>
      </c>
      <c r="I3">
        <v>0.01</v>
      </c>
    </row>
    <row r="4" spans="1:9" x14ac:dyDescent="0.2">
      <c r="A4" t="s">
        <v>19</v>
      </c>
      <c r="B4">
        <v>20</v>
      </c>
      <c r="C4">
        <v>0</v>
      </c>
      <c r="F4" t="s">
        <v>6</v>
      </c>
      <c r="G4">
        <v>94.690265486725664</v>
      </c>
      <c r="H4">
        <v>1</v>
      </c>
      <c r="I4">
        <v>0.01</v>
      </c>
    </row>
    <row r="5" spans="1:9" x14ac:dyDescent="0.2">
      <c r="A5" t="s">
        <v>19</v>
      </c>
      <c r="B5">
        <v>20</v>
      </c>
      <c r="C5">
        <v>0</v>
      </c>
      <c r="F5" t="s">
        <v>6</v>
      </c>
      <c r="G5">
        <v>98.82352941176471</v>
      </c>
      <c r="H5">
        <v>1</v>
      </c>
      <c r="I5">
        <v>0.01</v>
      </c>
    </row>
    <row r="6" spans="1:9" x14ac:dyDescent="0.2">
      <c r="A6" t="s">
        <v>19</v>
      </c>
      <c r="B6">
        <v>20</v>
      </c>
      <c r="C6">
        <v>0</v>
      </c>
      <c r="F6" t="s">
        <v>6</v>
      </c>
      <c r="G6">
        <v>76.19047619047619</v>
      </c>
      <c r="H6">
        <v>1</v>
      </c>
      <c r="I6">
        <v>0.01</v>
      </c>
    </row>
    <row r="7" spans="1:9" x14ac:dyDescent="0.2">
      <c r="A7" t="s">
        <v>19</v>
      </c>
      <c r="B7">
        <v>20</v>
      </c>
      <c r="C7">
        <v>0</v>
      </c>
      <c r="F7" t="s">
        <v>6</v>
      </c>
      <c r="G7">
        <v>89.891696750902526</v>
      </c>
      <c r="H7">
        <v>1</v>
      </c>
      <c r="I7">
        <v>0.01</v>
      </c>
    </row>
    <row r="8" spans="1:9" x14ac:dyDescent="0.2">
      <c r="A8" t="s">
        <v>19</v>
      </c>
      <c r="B8">
        <v>20</v>
      </c>
      <c r="C8">
        <v>0</v>
      </c>
      <c r="F8" t="s">
        <v>6</v>
      </c>
      <c r="G8">
        <v>92.441860465116278</v>
      </c>
      <c r="H8">
        <v>1</v>
      </c>
      <c r="I8">
        <v>0.01</v>
      </c>
    </row>
    <row r="9" spans="1:9" x14ac:dyDescent="0.2">
      <c r="A9" t="s">
        <v>19</v>
      </c>
      <c r="B9">
        <v>20</v>
      </c>
      <c r="C9">
        <v>0</v>
      </c>
      <c r="F9" t="s">
        <v>6</v>
      </c>
      <c r="G9">
        <v>98.80952380952381</v>
      </c>
      <c r="H9">
        <v>1</v>
      </c>
      <c r="I9">
        <v>0.01</v>
      </c>
    </row>
    <row r="10" spans="1:9" x14ac:dyDescent="0.2">
      <c r="A10" t="s">
        <v>19</v>
      </c>
      <c r="B10">
        <v>20</v>
      </c>
      <c r="C10">
        <v>0</v>
      </c>
      <c r="F10" t="s">
        <v>6</v>
      </c>
      <c r="G10">
        <v>100</v>
      </c>
      <c r="H10">
        <v>1</v>
      </c>
      <c r="I10">
        <v>0.01</v>
      </c>
    </row>
    <row r="11" spans="1:9" x14ac:dyDescent="0.2">
      <c r="A11" t="s">
        <v>19</v>
      </c>
      <c r="B11">
        <v>20</v>
      </c>
      <c r="C11">
        <v>0</v>
      </c>
      <c r="F11" t="s">
        <v>6</v>
      </c>
      <c r="G11">
        <v>88.235294117647058</v>
      </c>
      <c r="H11">
        <v>1</v>
      </c>
      <c r="I11">
        <v>0.01</v>
      </c>
    </row>
    <row r="12" spans="1:9" x14ac:dyDescent="0.2">
      <c r="A12" t="s">
        <v>19</v>
      </c>
      <c r="B12">
        <v>20</v>
      </c>
      <c r="C12">
        <v>0</v>
      </c>
      <c r="F12" t="s">
        <v>6</v>
      </c>
      <c r="G12">
        <v>52.991452991452995</v>
      </c>
      <c r="H12">
        <v>1</v>
      </c>
      <c r="I12">
        <v>0.01</v>
      </c>
    </row>
    <row r="13" spans="1:9" x14ac:dyDescent="0.2">
      <c r="A13" t="s">
        <v>19</v>
      </c>
      <c r="B13">
        <v>20</v>
      </c>
      <c r="C13">
        <v>0</v>
      </c>
      <c r="F13" t="s">
        <v>6</v>
      </c>
      <c r="G13">
        <v>94.190871369294598</v>
      </c>
      <c r="H13">
        <v>1</v>
      </c>
      <c r="I13">
        <v>0.01</v>
      </c>
    </row>
    <row r="14" spans="1:9" x14ac:dyDescent="0.2">
      <c r="A14" t="s">
        <v>19</v>
      </c>
      <c r="B14">
        <v>20</v>
      </c>
      <c r="C14">
        <v>0</v>
      </c>
      <c r="F14" t="s">
        <v>6</v>
      </c>
      <c r="G14">
        <v>100</v>
      </c>
      <c r="H14">
        <v>1</v>
      </c>
      <c r="I14">
        <v>0.01</v>
      </c>
    </row>
    <row r="15" spans="1:9" x14ac:dyDescent="0.2">
      <c r="A15" t="s">
        <v>19</v>
      </c>
      <c r="B15">
        <v>20</v>
      </c>
      <c r="C15">
        <v>0</v>
      </c>
      <c r="F15" t="s">
        <v>6</v>
      </c>
      <c r="G15">
        <v>94.73684210526315</v>
      </c>
      <c r="H15">
        <v>1</v>
      </c>
      <c r="I15">
        <v>0.01</v>
      </c>
    </row>
    <row r="16" spans="1:9" x14ac:dyDescent="0.2">
      <c r="A16" t="s">
        <v>19</v>
      </c>
      <c r="B16">
        <v>20</v>
      </c>
      <c r="C16">
        <v>0</v>
      </c>
      <c r="F16" t="s">
        <v>6</v>
      </c>
      <c r="G16">
        <v>96.478873239436624</v>
      </c>
      <c r="H16">
        <v>1</v>
      </c>
      <c r="I16">
        <v>0.01</v>
      </c>
    </row>
    <row r="17" spans="1:9" x14ac:dyDescent="0.2">
      <c r="A17" t="s">
        <v>19</v>
      </c>
      <c r="B17">
        <v>20</v>
      </c>
      <c r="C17">
        <v>0</v>
      </c>
      <c r="F17" t="s">
        <v>6</v>
      </c>
      <c r="G17">
        <v>100</v>
      </c>
      <c r="H17">
        <v>1</v>
      </c>
      <c r="I17">
        <v>0.01</v>
      </c>
    </row>
    <row r="18" spans="1:9" x14ac:dyDescent="0.2">
      <c r="A18" t="s">
        <v>19</v>
      </c>
      <c r="B18">
        <v>20</v>
      </c>
      <c r="C18">
        <v>0</v>
      </c>
      <c r="F18" t="s">
        <v>6</v>
      </c>
      <c r="G18">
        <v>100</v>
      </c>
      <c r="H18">
        <v>1</v>
      </c>
      <c r="I18">
        <v>0.01</v>
      </c>
    </row>
    <row r="19" spans="1:9" x14ac:dyDescent="0.2">
      <c r="A19" t="s">
        <v>19</v>
      </c>
      <c r="B19">
        <v>20</v>
      </c>
      <c r="C19">
        <v>0</v>
      </c>
      <c r="F19" t="s">
        <v>6</v>
      </c>
      <c r="G19">
        <v>77.160493827160494</v>
      </c>
      <c r="H19">
        <v>1</v>
      </c>
      <c r="I19">
        <v>0.01</v>
      </c>
    </row>
    <row r="20" spans="1:9" x14ac:dyDescent="0.2">
      <c r="A20" t="s">
        <v>19</v>
      </c>
      <c r="B20">
        <v>20</v>
      </c>
      <c r="C20">
        <v>0</v>
      </c>
      <c r="F20" t="s">
        <v>6</v>
      </c>
      <c r="G20">
        <v>86.36363636363636</v>
      </c>
      <c r="H20">
        <v>1</v>
      </c>
      <c r="I20">
        <v>0.01</v>
      </c>
    </row>
    <row r="21" spans="1:9" x14ac:dyDescent="0.2">
      <c r="A21" t="s">
        <v>19</v>
      </c>
      <c r="B21">
        <v>20</v>
      </c>
      <c r="C21">
        <v>0</v>
      </c>
      <c r="F21" t="s">
        <v>6</v>
      </c>
      <c r="G21">
        <v>83.018867924528308</v>
      </c>
      <c r="H21">
        <v>1</v>
      </c>
      <c r="I21">
        <v>0.01</v>
      </c>
    </row>
    <row r="22" spans="1:9" x14ac:dyDescent="0.2">
      <c r="A22" t="s">
        <v>63</v>
      </c>
      <c r="B22">
        <v>5</v>
      </c>
      <c r="C22">
        <v>1</v>
      </c>
      <c r="F22" t="s">
        <v>6</v>
      </c>
      <c r="G22">
        <v>79.841897233201593</v>
      </c>
      <c r="H22">
        <v>1</v>
      </c>
      <c r="I22">
        <v>0.01</v>
      </c>
    </row>
    <row r="23" spans="1:9" x14ac:dyDescent="0.2">
      <c r="A23" s="3" t="s">
        <v>63</v>
      </c>
      <c r="B23">
        <v>6</v>
      </c>
      <c r="C23">
        <v>1</v>
      </c>
      <c r="F23" t="s">
        <v>19</v>
      </c>
      <c r="G23">
        <v>81</v>
      </c>
      <c r="H23">
        <v>1</v>
      </c>
      <c r="I23">
        <v>0.01</v>
      </c>
    </row>
    <row r="24" spans="1:9" x14ac:dyDescent="0.2">
      <c r="A24" t="s">
        <v>63</v>
      </c>
      <c r="B24">
        <v>6</v>
      </c>
      <c r="C24">
        <v>1</v>
      </c>
      <c r="F24" t="s">
        <v>19</v>
      </c>
      <c r="G24">
        <v>94.73684210526315</v>
      </c>
      <c r="H24">
        <v>1</v>
      </c>
      <c r="I24">
        <v>0.01</v>
      </c>
    </row>
    <row r="25" spans="1:9" x14ac:dyDescent="0.2">
      <c r="A25" s="3" t="s">
        <v>63</v>
      </c>
      <c r="B25">
        <v>6</v>
      </c>
      <c r="C25">
        <v>1</v>
      </c>
      <c r="F25" t="s">
        <v>19</v>
      </c>
      <c r="G25">
        <v>100</v>
      </c>
      <c r="H25">
        <v>1</v>
      </c>
      <c r="I25">
        <v>0.01</v>
      </c>
    </row>
    <row r="26" spans="1:9" x14ac:dyDescent="0.2">
      <c r="A26" t="s">
        <v>63</v>
      </c>
      <c r="B26">
        <v>6</v>
      </c>
      <c r="C26">
        <v>1</v>
      </c>
      <c r="F26" t="s">
        <v>19</v>
      </c>
      <c r="G26">
        <v>98.134328358208961</v>
      </c>
      <c r="H26">
        <v>1</v>
      </c>
      <c r="I26">
        <v>0.01</v>
      </c>
    </row>
    <row r="27" spans="1:9" x14ac:dyDescent="0.2">
      <c r="A27" s="3" t="s">
        <v>63</v>
      </c>
      <c r="B27">
        <v>6</v>
      </c>
      <c r="C27">
        <v>1</v>
      </c>
      <c r="F27" t="s">
        <v>19</v>
      </c>
      <c r="G27">
        <v>93.902439024390233</v>
      </c>
      <c r="H27">
        <v>1</v>
      </c>
      <c r="I27">
        <v>0.01</v>
      </c>
    </row>
    <row r="28" spans="1:9" x14ac:dyDescent="0.2">
      <c r="A28" t="s">
        <v>63</v>
      </c>
      <c r="B28">
        <v>6</v>
      </c>
      <c r="C28">
        <v>1</v>
      </c>
      <c r="F28" t="s">
        <v>19</v>
      </c>
      <c r="G28">
        <v>58.377425044091716</v>
      </c>
      <c r="H28">
        <v>1</v>
      </c>
      <c r="I28">
        <v>0.01</v>
      </c>
    </row>
    <row r="29" spans="1:9" x14ac:dyDescent="0.2">
      <c r="A29" s="3" t="s">
        <v>63</v>
      </c>
      <c r="B29">
        <v>6</v>
      </c>
      <c r="C29">
        <v>1</v>
      </c>
      <c r="F29" t="s">
        <v>19</v>
      </c>
      <c r="G29">
        <v>61.333333333333329</v>
      </c>
      <c r="H29">
        <v>1</v>
      </c>
      <c r="I29">
        <v>0.01</v>
      </c>
    </row>
    <row r="30" spans="1:9" x14ac:dyDescent="0.2">
      <c r="A30" t="s">
        <v>63</v>
      </c>
      <c r="B30">
        <v>7</v>
      </c>
      <c r="C30">
        <v>1</v>
      </c>
      <c r="F30" t="s">
        <v>19</v>
      </c>
      <c r="G30">
        <v>100</v>
      </c>
      <c r="H30">
        <v>1</v>
      </c>
      <c r="I30">
        <v>0.01</v>
      </c>
    </row>
    <row r="31" spans="1:9" x14ac:dyDescent="0.2">
      <c r="A31" s="3" t="s">
        <v>63</v>
      </c>
      <c r="B31">
        <v>7</v>
      </c>
      <c r="C31">
        <v>1</v>
      </c>
      <c r="F31" t="s">
        <v>19</v>
      </c>
      <c r="G31">
        <v>75.555555555555557</v>
      </c>
      <c r="H31">
        <v>1</v>
      </c>
      <c r="I31">
        <v>0.01</v>
      </c>
    </row>
    <row r="32" spans="1:9" x14ac:dyDescent="0.2">
      <c r="A32" t="s">
        <v>63</v>
      </c>
      <c r="B32">
        <v>7</v>
      </c>
      <c r="C32">
        <v>1</v>
      </c>
      <c r="F32" t="s">
        <v>19</v>
      </c>
      <c r="G32">
        <v>73.924731182795696</v>
      </c>
      <c r="H32">
        <v>1</v>
      </c>
      <c r="I32">
        <v>0.01</v>
      </c>
    </row>
    <row r="33" spans="1:9" x14ac:dyDescent="0.2">
      <c r="A33" s="3" t="s">
        <v>63</v>
      </c>
      <c r="B33">
        <v>7</v>
      </c>
      <c r="C33">
        <v>1</v>
      </c>
      <c r="F33" t="s">
        <v>19</v>
      </c>
      <c r="G33">
        <v>100</v>
      </c>
      <c r="H33">
        <v>1</v>
      </c>
      <c r="I33">
        <v>0.01</v>
      </c>
    </row>
    <row r="34" spans="1:9" x14ac:dyDescent="0.2">
      <c r="A34" t="s">
        <v>63</v>
      </c>
      <c r="B34">
        <v>7</v>
      </c>
      <c r="C34">
        <v>1</v>
      </c>
      <c r="F34" t="s">
        <v>19</v>
      </c>
      <c r="G34">
        <v>96.313364055299544</v>
      </c>
      <c r="H34">
        <v>1</v>
      </c>
      <c r="I34">
        <v>0.01</v>
      </c>
    </row>
    <row r="35" spans="1:9" x14ac:dyDescent="0.2">
      <c r="A35" s="3" t="s">
        <v>63</v>
      </c>
      <c r="B35">
        <v>7</v>
      </c>
      <c r="C35">
        <v>1</v>
      </c>
      <c r="F35" t="s">
        <v>19</v>
      </c>
      <c r="G35">
        <v>100</v>
      </c>
      <c r="H35">
        <v>1</v>
      </c>
      <c r="I35">
        <v>0.01</v>
      </c>
    </row>
    <row r="36" spans="1:9" x14ac:dyDescent="0.2">
      <c r="A36" t="s">
        <v>63</v>
      </c>
      <c r="B36">
        <v>7</v>
      </c>
      <c r="C36">
        <v>1</v>
      </c>
      <c r="F36" t="s">
        <v>19</v>
      </c>
      <c r="G36">
        <v>95.588235294117652</v>
      </c>
      <c r="H36">
        <v>1</v>
      </c>
      <c r="I36">
        <v>0.01</v>
      </c>
    </row>
    <row r="37" spans="1:9" x14ac:dyDescent="0.2">
      <c r="A37" s="3" t="s">
        <v>63</v>
      </c>
      <c r="B37">
        <v>7</v>
      </c>
      <c r="C37">
        <v>1</v>
      </c>
      <c r="F37" t="s">
        <v>19</v>
      </c>
      <c r="G37">
        <v>94.693877551020407</v>
      </c>
      <c r="H37">
        <v>1</v>
      </c>
      <c r="I37">
        <v>0.01</v>
      </c>
    </row>
    <row r="38" spans="1:9" x14ac:dyDescent="0.2">
      <c r="A38" t="s">
        <v>63</v>
      </c>
      <c r="B38">
        <v>7</v>
      </c>
      <c r="C38">
        <v>1</v>
      </c>
      <c r="F38" t="s">
        <v>19</v>
      </c>
      <c r="G38">
        <v>94.968553459119505</v>
      </c>
      <c r="H38">
        <v>1</v>
      </c>
      <c r="I38">
        <v>0.01</v>
      </c>
    </row>
    <row r="39" spans="1:9" x14ac:dyDescent="0.2">
      <c r="A39" s="3" t="s">
        <v>63</v>
      </c>
      <c r="B39">
        <v>7</v>
      </c>
      <c r="C39">
        <v>1</v>
      </c>
      <c r="F39" t="s">
        <v>19</v>
      </c>
      <c r="G39">
        <v>88.837209302325576</v>
      </c>
      <c r="H39">
        <v>1</v>
      </c>
      <c r="I39">
        <v>0.01</v>
      </c>
    </row>
    <row r="40" spans="1:9" x14ac:dyDescent="0.2">
      <c r="A40" t="s">
        <v>63</v>
      </c>
      <c r="B40">
        <v>7</v>
      </c>
      <c r="C40">
        <v>1</v>
      </c>
      <c r="F40" t="s">
        <v>19</v>
      </c>
      <c r="G40">
        <v>91.5</v>
      </c>
      <c r="H40">
        <v>1</v>
      </c>
      <c r="I40">
        <v>0.01</v>
      </c>
    </row>
    <row r="41" spans="1:9" x14ac:dyDescent="0.2">
      <c r="A41" s="3" t="s">
        <v>63</v>
      </c>
      <c r="B41">
        <v>7</v>
      </c>
      <c r="C41">
        <v>1</v>
      </c>
      <c r="F41" t="s">
        <v>19</v>
      </c>
      <c r="G41">
        <v>95.070422535211264</v>
      </c>
      <c r="H41">
        <v>1</v>
      </c>
      <c r="I41">
        <v>0.01</v>
      </c>
    </row>
    <row r="42" spans="1:9" x14ac:dyDescent="0.2">
      <c r="A42" t="s">
        <v>63</v>
      </c>
      <c r="B42">
        <v>7</v>
      </c>
      <c r="C42">
        <v>1</v>
      </c>
      <c r="F42" t="s">
        <v>19</v>
      </c>
      <c r="G42">
        <v>100</v>
      </c>
      <c r="H42">
        <v>1</v>
      </c>
      <c r="I42">
        <v>0.01</v>
      </c>
    </row>
    <row r="43" spans="1:9" x14ac:dyDescent="0.2">
      <c r="A43" s="3" t="s">
        <v>63</v>
      </c>
      <c r="B43">
        <v>7</v>
      </c>
      <c r="C43">
        <v>1</v>
      </c>
      <c r="F43" t="s">
        <v>19</v>
      </c>
      <c r="G43">
        <v>100</v>
      </c>
      <c r="H43">
        <v>1</v>
      </c>
      <c r="I43">
        <v>0.01</v>
      </c>
    </row>
    <row r="44" spans="1:9" x14ac:dyDescent="0.2">
      <c r="A44" t="s">
        <v>63</v>
      </c>
      <c r="B44">
        <v>8</v>
      </c>
      <c r="C44">
        <v>1</v>
      </c>
      <c r="F44" t="s">
        <v>19</v>
      </c>
      <c r="G44">
        <v>99.280575539568346</v>
      </c>
      <c r="H44">
        <v>1</v>
      </c>
      <c r="I44">
        <v>0.01</v>
      </c>
    </row>
    <row r="45" spans="1:9" x14ac:dyDescent="0.2">
      <c r="A45" s="3" t="s">
        <v>63</v>
      </c>
      <c r="B45">
        <v>8</v>
      </c>
      <c r="C45">
        <v>1</v>
      </c>
      <c r="F45" t="s">
        <v>23</v>
      </c>
      <c r="G45">
        <v>86.25</v>
      </c>
      <c r="H45">
        <v>1</v>
      </c>
      <c r="I45">
        <v>0.01</v>
      </c>
    </row>
    <row r="46" spans="1:9" x14ac:dyDescent="0.2">
      <c r="A46" t="s">
        <v>63</v>
      </c>
      <c r="B46">
        <v>8</v>
      </c>
      <c r="C46">
        <v>1</v>
      </c>
      <c r="F46" t="s">
        <v>23</v>
      </c>
      <c r="G46">
        <v>98.5</v>
      </c>
      <c r="H46">
        <v>1</v>
      </c>
      <c r="I46">
        <v>0.01</v>
      </c>
    </row>
    <row r="47" spans="1:9" x14ac:dyDescent="0.2">
      <c r="A47" s="3" t="s">
        <v>63</v>
      </c>
      <c r="B47">
        <v>8</v>
      </c>
      <c r="C47">
        <v>1</v>
      </c>
      <c r="F47" t="s">
        <v>23</v>
      </c>
      <c r="G47">
        <v>73.728813559322035</v>
      </c>
      <c r="H47">
        <v>1</v>
      </c>
      <c r="I47">
        <v>0.01</v>
      </c>
    </row>
    <row r="48" spans="1:9" x14ac:dyDescent="0.2">
      <c r="A48" t="s">
        <v>63</v>
      </c>
      <c r="B48">
        <v>8</v>
      </c>
      <c r="C48">
        <v>1</v>
      </c>
      <c r="F48" t="s">
        <v>23</v>
      </c>
      <c r="G48">
        <v>92.280701754385959</v>
      </c>
      <c r="H48">
        <v>1</v>
      </c>
      <c r="I48">
        <v>0.01</v>
      </c>
    </row>
    <row r="49" spans="1:9" x14ac:dyDescent="0.2">
      <c r="A49" s="3" t="s">
        <v>63</v>
      </c>
      <c r="B49">
        <v>8</v>
      </c>
      <c r="C49">
        <v>1</v>
      </c>
      <c r="F49" t="s">
        <v>23</v>
      </c>
      <c r="G49">
        <v>85.113268608414245</v>
      </c>
      <c r="H49">
        <v>1</v>
      </c>
      <c r="I49">
        <v>0.01</v>
      </c>
    </row>
    <row r="50" spans="1:9" x14ac:dyDescent="0.2">
      <c r="A50" t="s">
        <v>63</v>
      </c>
      <c r="B50">
        <v>8</v>
      </c>
      <c r="C50">
        <v>1</v>
      </c>
      <c r="F50" t="s">
        <v>23</v>
      </c>
      <c r="G50">
        <v>82.35294117647058</v>
      </c>
      <c r="H50">
        <v>1</v>
      </c>
      <c r="I50">
        <v>0.01</v>
      </c>
    </row>
    <row r="51" spans="1:9" x14ac:dyDescent="0.2">
      <c r="A51" s="3" t="s">
        <v>63</v>
      </c>
      <c r="B51">
        <v>8</v>
      </c>
      <c r="C51">
        <v>1</v>
      </c>
      <c r="F51" t="s">
        <v>23</v>
      </c>
      <c r="G51">
        <v>96.25</v>
      </c>
      <c r="H51">
        <v>1</v>
      </c>
      <c r="I51">
        <v>0.01</v>
      </c>
    </row>
    <row r="52" spans="1:9" x14ac:dyDescent="0.2">
      <c r="A52" t="s">
        <v>63</v>
      </c>
      <c r="B52">
        <v>8</v>
      </c>
      <c r="C52">
        <v>1</v>
      </c>
      <c r="F52" t="s">
        <v>23</v>
      </c>
      <c r="G52">
        <v>98.062015503875969</v>
      </c>
      <c r="H52">
        <v>1</v>
      </c>
      <c r="I52">
        <v>0.01</v>
      </c>
    </row>
    <row r="53" spans="1:9" x14ac:dyDescent="0.2">
      <c r="A53" s="3" t="s">
        <v>63</v>
      </c>
      <c r="B53">
        <v>8</v>
      </c>
      <c r="C53">
        <v>1</v>
      </c>
      <c r="F53" t="s">
        <v>23</v>
      </c>
      <c r="G53">
        <v>80.909090909090907</v>
      </c>
      <c r="H53">
        <v>1</v>
      </c>
      <c r="I53">
        <v>0.01</v>
      </c>
    </row>
    <row r="54" spans="1:9" x14ac:dyDescent="0.2">
      <c r="A54" t="s">
        <v>63</v>
      </c>
      <c r="B54">
        <v>8</v>
      </c>
      <c r="C54">
        <v>1</v>
      </c>
      <c r="F54" t="s">
        <v>23</v>
      </c>
      <c r="G54">
        <v>97.282608695652172</v>
      </c>
      <c r="H54">
        <v>1</v>
      </c>
      <c r="I54">
        <v>0.01</v>
      </c>
    </row>
    <row r="55" spans="1:9" x14ac:dyDescent="0.2">
      <c r="A55" s="3" t="s">
        <v>63</v>
      </c>
      <c r="B55">
        <v>8</v>
      </c>
      <c r="C55">
        <v>1</v>
      </c>
      <c r="F55" t="s">
        <v>23</v>
      </c>
      <c r="G55">
        <v>96.041308089500859</v>
      </c>
      <c r="H55">
        <v>1</v>
      </c>
      <c r="I55">
        <v>0.01</v>
      </c>
    </row>
    <row r="56" spans="1:9" x14ac:dyDescent="0.2">
      <c r="A56" t="s">
        <v>63</v>
      </c>
      <c r="B56">
        <v>8</v>
      </c>
      <c r="C56">
        <v>1</v>
      </c>
      <c r="F56" t="s">
        <v>23</v>
      </c>
      <c r="G56">
        <v>98.832684824902728</v>
      </c>
      <c r="H56">
        <v>1</v>
      </c>
      <c r="I56">
        <v>0.01</v>
      </c>
    </row>
    <row r="57" spans="1:9" x14ac:dyDescent="0.2">
      <c r="A57" s="3" t="s">
        <v>63</v>
      </c>
      <c r="B57">
        <v>8</v>
      </c>
      <c r="C57">
        <v>1</v>
      </c>
      <c r="F57" t="s">
        <v>23</v>
      </c>
      <c r="G57">
        <v>93.859649122807014</v>
      </c>
      <c r="H57">
        <v>1</v>
      </c>
      <c r="I57">
        <v>0.01</v>
      </c>
    </row>
    <row r="58" spans="1:9" x14ac:dyDescent="0.2">
      <c r="A58" t="s">
        <v>63</v>
      </c>
      <c r="B58">
        <v>8</v>
      </c>
      <c r="C58">
        <v>1</v>
      </c>
      <c r="F58" t="s">
        <v>23</v>
      </c>
      <c r="G58">
        <v>100</v>
      </c>
      <c r="H58">
        <v>1</v>
      </c>
      <c r="I58">
        <v>0.01</v>
      </c>
    </row>
    <row r="59" spans="1:9" x14ac:dyDescent="0.2">
      <c r="A59" s="3" t="s">
        <v>63</v>
      </c>
      <c r="B59">
        <v>9</v>
      </c>
      <c r="C59">
        <v>1</v>
      </c>
      <c r="F59" t="s">
        <v>23</v>
      </c>
      <c r="G59">
        <v>52.307692307692314</v>
      </c>
      <c r="H59">
        <v>1</v>
      </c>
      <c r="I59">
        <v>0.01</v>
      </c>
    </row>
    <row r="60" spans="1:9" x14ac:dyDescent="0.2">
      <c r="A60" t="s">
        <v>64</v>
      </c>
      <c r="B60">
        <v>9</v>
      </c>
      <c r="C60">
        <v>1</v>
      </c>
      <c r="F60" t="s">
        <v>23</v>
      </c>
      <c r="G60">
        <v>100</v>
      </c>
      <c r="H60">
        <v>1</v>
      </c>
      <c r="I60">
        <v>0.01</v>
      </c>
    </row>
    <row r="61" spans="1:9" x14ac:dyDescent="0.2">
      <c r="A61" t="s">
        <v>64</v>
      </c>
      <c r="B61">
        <v>9</v>
      </c>
      <c r="C61">
        <v>1</v>
      </c>
      <c r="F61" t="s">
        <v>23</v>
      </c>
      <c r="G61">
        <v>97.435897435897431</v>
      </c>
      <c r="H61">
        <v>1</v>
      </c>
      <c r="I61">
        <v>0.01</v>
      </c>
    </row>
    <row r="62" spans="1:9" x14ac:dyDescent="0.2">
      <c r="A62" t="s">
        <v>64</v>
      </c>
      <c r="B62">
        <v>10</v>
      </c>
      <c r="C62">
        <v>1</v>
      </c>
      <c r="F62" t="s">
        <v>23</v>
      </c>
      <c r="G62">
        <v>100</v>
      </c>
      <c r="H62">
        <v>1</v>
      </c>
      <c r="I62">
        <v>0.01</v>
      </c>
    </row>
    <row r="63" spans="1:9" x14ac:dyDescent="0.2">
      <c r="A63" t="s">
        <v>64</v>
      </c>
      <c r="B63">
        <v>10</v>
      </c>
      <c r="C63">
        <v>1</v>
      </c>
      <c r="F63" t="s">
        <v>23</v>
      </c>
      <c r="G63">
        <v>100</v>
      </c>
      <c r="H63">
        <v>1</v>
      </c>
      <c r="I63">
        <v>0.01</v>
      </c>
    </row>
    <row r="64" spans="1:9" x14ac:dyDescent="0.2">
      <c r="A64" t="s">
        <v>64</v>
      </c>
      <c r="B64">
        <v>10</v>
      </c>
      <c r="C64">
        <v>1</v>
      </c>
      <c r="F64" t="s">
        <v>23</v>
      </c>
      <c r="G64">
        <v>76.229508196721312</v>
      </c>
      <c r="H64">
        <v>1</v>
      </c>
      <c r="I64">
        <v>0.01</v>
      </c>
    </row>
    <row r="65" spans="1:9" x14ac:dyDescent="0.2">
      <c r="A65" t="s">
        <v>64</v>
      </c>
      <c r="B65">
        <v>10</v>
      </c>
      <c r="C65">
        <v>1</v>
      </c>
      <c r="F65" t="s">
        <v>23</v>
      </c>
      <c r="G65">
        <v>95.777351247600777</v>
      </c>
      <c r="H65">
        <v>1</v>
      </c>
      <c r="I65">
        <v>0.01</v>
      </c>
    </row>
    <row r="66" spans="1:9" x14ac:dyDescent="0.2">
      <c r="A66" t="s">
        <v>64</v>
      </c>
      <c r="B66">
        <v>10</v>
      </c>
      <c r="C66">
        <v>1</v>
      </c>
      <c r="F66" t="s">
        <v>23</v>
      </c>
      <c r="G66">
        <v>93.12714776632302</v>
      </c>
      <c r="H66">
        <v>1</v>
      </c>
      <c r="I66">
        <v>0.01</v>
      </c>
    </row>
    <row r="67" spans="1:9" x14ac:dyDescent="0.2">
      <c r="A67" t="s">
        <v>64</v>
      </c>
      <c r="B67">
        <v>10</v>
      </c>
      <c r="C67">
        <v>1</v>
      </c>
      <c r="F67" t="s">
        <v>6</v>
      </c>
      <c r="G67">
        <v>92.342342342342349</v>
      </c>
      <c r="H67">
        <v>1</v>
      </c>
      <c r="I67">
        <v>1E-3</v>
      </c>
    </row>
    <row r="68" spans="1:9" x14ac:dyDescent="0.2">
      <c r="A68" t="s">
        <v>64</v>
      </c>
      <c r="B68">
        <v>10</v>
      </c>
      <c r="C68">
        <v>1</v>
      </c>
      <c r="F68" t="s">
        <v>6</v>
      </c>
      <c r="G68">
        <v>94.652406417112303</v>
      </c>
      <c r="H68">
        <v>1</v>
      </c>
      <c r="I68">
        <v>1E-3</v>
      </c>
    </row>
    <row r="69" spans="1:9" x14ac:dyDescent="0.2">
      <c r="A69" t="s">
        <v>64</v>
      </c>
      <c r="B69">
        <v>10</v>
      </c>
      <c r="C69">
        <v>1</v>
      </c>
      <c r="F69" t="s">
        <v>6</v>
      </c>
      <c r="G69">
        <v>100</v>
      </c>
      <c r="H69">
        <v>1</v>
      </c>
      <c r="I69">
        <v>1E-3</v>
      </c>
    </row>
    <row r="70" spans="1:9" x14ac:dyDescent="0.2">
      <c r="A70" t="s">
        <v>64</v>
      </c>
      <c r="B70">
        <v>10</v>
      </c>
      <c r="C70">
        <v>1</v>
      </c>
      <c r="F70" t="s">
        <v>6</v>
      </c>
      <c r="G70">
        <v>66.183574879227052</v>
      </c>
      <c r="H70">
        <v>1</v>
      </c>
      <c r="I70">
        <v>1E-3</v>
      </c>
    </row>
    <row r="71" spans="1:9" x14ac:dyDescent="0.2">
      <c r="A71" t="s">
        <v>64</v>
      </c>
      <c r="B71">
        <v>10</v>
      </c>
      <c r="C71">
        <v>1</v>
      </c>
      <c r="F71" t="s">
        <v>6</v>
      </c>
      <c r="G71">
        <v>93.005671077504729</v>
      </c>
      <c r="H71">
        <v>1</v>
      </c>
      <c r="I71">
        <v>1E-3</v>
      </c>
    </row>
    <row r="72" spans="1:9" x14ac:dyDescent="0.2">
      <c r="A72" t="s">
        <v>64</v>
      </c>
      <c r="B72">
        <v>10</v>
      </c>
      <c r="C72">
        <v>1</v>
      </c>
      <c r="F72" t="s">
        <v>6</v>
      </c>
      <c r="G72">
        <v>93.333333333333329</v>
      </c>
      <c r="H72">
        <v>1</v>
      </c>
      <c r="I72">
        <v>1E-3</v>
      </c>
    </row>
    <row r="73" spans="1:9" x14ac:dyDescent="0.2">
      <c r="A73" t="s">
        <v>64</v>
      </c>
      <c r="B73">
        <v>10</v>
      </c>
      <c r="C73">
        <v>1</v>
      </c>
      <c r="F73" t="s">
        <v>6</v>
      </c>
      <c r="G73">
        <v>78.84615384615384</v>
      </c>
      <c r="H73">
        <v>1</v>
      </c>
      <c r="I73">
        <v>1E-3</v>
      </c>
    </row>
    <row r="74" spans="1:9" x14ac:dyDescent="0.2">
      <c r="A74" t="s">
        <v>64</v>
      </c>
      <c r="B74">
        <v>11</v>
      </c>
      <c r="C74">
        <v>1</v>
      </c>
      <c r="F74" t="s">
        <v>6</v>
      </c>
      <c r="G74">
        <v>71.186440677966104</v>
      </c>
      <c r="H74">
        <v>1</v>
      </c>
      <c r="I74">
        <v>1E-3</v>
      </c>
    </row>
    <row r="75" spans="1:9" x14ac:dyDescent="0.2">
      <c r="A75" t="s">
        <v>64</v>
      </c>
      <c r="B75">
        <v>11</v>
      </c>
      <c r="C75">
        <v>1</v>
      </c>
      <c r="F75" t="s">
        <v>6</v>
      </c>
      <c r="G75">
        <v>100</v>
      </c>
      <c r="H75">
        <v>1</v>
      </c>
      <c r="I75">
        <v>1E-3</v>
      </c>
    </row>
    <row r="76" spans="1:9" x14ac:dyDescent="0.2">
      <c r="A76" t="s">
        <v>64</v>
      </c>
      <c r="B76">
        <v>11</v>
      </c>
      <c r="C76">
        <v>1</v>
      </c>
      <c r="F76" t="s">
        <v>6</v>
      </c>
      <c r="G76">
        <v>96.629213483146074</v>
      </c>
      <c r="H76">
        <v>1</v>
      </c>
      <c r="I76">
        <v>1E-3</v>
      </c>
    </row>
    <row r="77" spans="1:9" x14ac:dyDescent="0.2">
      <c r="A77" t="s">
        <v>64</v>
      </c>
      <c r="B77">
        <v>11</v>
      </c>
      <c r="C77">
        <v>1</v>
      </c>
      <c r="F77" t="s">
        <v>6</v>
      </c>
      <c r="G77">
        <v>79.646017699115049</v>
      </c>
      <c r="H77">
        <v>1</v>
      </c>
      <c r="I77">
        <v>1E-3</v>
      </c>
    </row>
    <row r="78" spans="1:9" x14ac:dyDescent="0.2">
      <c r="A78" t="s">
        <v>64</v>
      </c>
      <c r="B78">
        <v>11</v>
      </c>
      <c r="C78">
        <v>1</v>
      </c>
      <c r="F78" t="s">
        <v>6</v>
      </c>
      <c r="G78">
        <v>50.617283950617285</v>
      </c>
      <c r="H78">
        <v>1</v>
      </c>
      <c r="I78">
        <v>1E-3</v>
      </c>
    </row>
    <row r="79" spans="1:9" x14ac:dyDescent="0.2">
      <c r="A79" t="s">
        <v>64</v>
      </c>
      <c r="B79">
        <v>11</v>
      </c>
      <c r="C79">
        <v>1</v>
      </c>
      <c r="F79" t="s">
        <v>6</v>
      </c>
      <c r="G79">
        <v>97.129186602870803</v>
      </c>
      <c r="H79">
        <v>1</v>
      </c>
      <c r="I79">
        <v>1E-3</v>
      </c>
    </row>
    <row r="80" spans="1:9" x14ac:dyDescent="0.2">
      <c r="A80" t="s">
        <v>64</v>
      </c>
      <c r="B80">
        <v>11</v>
      </c>
      <c r="C80">
        <v>1</v>
      </c>
      <c r="F80" t="s">
        <v>6</v>
      </c>
      <c r="G80">
        <v>100</v>
      </c>
      <c r="H80">
        <v>1</v>
      </c>
      <c r="I80">
        <v>1E-3</v>
      </c>
    </row>
    <row r="81" spans="1:9" x14ac:dyDescent="0.2">
      <c r="A81" t="s">
        <v>64</v>
      </c>
      <c r="B81">
        <v>11</v>
      </c>
      <c r="C81">
        <v>1</v>
      </c>
      <c r="F81" t="s">
        <v>6</v>
      </c>
      <c r="G81">
        <v>73.643410852713174</v>
      </c>
      <c r="H81">
        <v>1</v>
      </c>
      <c r="I81">
        <v>1E-3</v>
      </c>
    </row>
    <row r="82" spans="1:9" x14ac:dyDescent="0.2">
      <c r="A82" t="s">
        <v>64</v>
      </c>
      <c r="B82">
        <v>11</v>
      </c>
      <c r="C82">
        <v>1</v>
      </c>
      <c r="F82" t="s">
        <v>6</v>
      </c>
      <c r="G82">
        <v>100</v>
      </c>
      <c r="H82">
        <v>1</v>
      </c>
      <c r="I82">
        <v>1E-3</v>
      </c>
    </row>
    <row r="83" spans="1:9" x14ac:dyDescent="0.2">
      <c r="A83" t="s">
        <v>64</v>
      </c>
      <c r="B83">
        <v>12</v>
      </c>
      <c r="C83">
        <v>1</v>
      </c>
      <c r="F83" t="s">
        <v>6</v>
      </c>
      <c r="G83">
        <v>100</v>
      </c>
      <c r="H83">
        <v>1</v>
      </c>
      <c r="I83">
        <v>1E-3</v>
      </c>
    </row>
    <row r="84" spans="1:9" x14ac:dyDescent="0.2">
      <c r="A84" t="s">
        <v>64</v>
      </c>
      <c r="B84">
        <v>12</v>
      </c>
      <c r="C84">
        <v>1</v>
      </c>
      <c r="F84" t="s">
        <v>6</v>
      </c>
      <c r="G84">
        <v>93.103448275862064</v>
      </c>
      <c r="H84">
        <v>1</v>
      </c>
      <c r="I84">
        <v>1E-3</v>
      </c>
    </row>
    <row r="85" spans="1:9" x14ac:dyDescent="0.2">
      <c r="A85" t="s">
        <v>64</v>
      </c>
      <c r="B85">
        <v>12</v>
      </c>
      <c r="C85">
        <v>1</v>
      </c>
      <c r="F85" t="s">
        <v>6</v>
      </c>
      <c r="G85">
        <v>100</v>
      </c>
      <c r="H85">
        <v>1</v>
      </c>
      <c r="I85">
        <v>1E-3</v>
      </c>
    </row>
    <row r="86" spans="1:9" x14ac:dyDescent="0.2">
      <c r="A86" t="s">
        <v>64</v>
      </c>
      <c r="B86">
        <v>12</v>
      </c>
      <c r="C86">
        <v>1</v>
      </c>
      <c r="F86" t="s">
        <v>6</v>
      </c>
      <c r="G86">
        <v>83.495145631067956</v>
      </c>
      <c r="H86">
        <v>1</v>
      </c>
      <c r="I86">
        <v>1E-3</v>
      </c>
    </row>
    <row r="87" spans="1:9" x14ac:dyDescent="0.2">
      <c r="A87" t="s">
        <v>64</v>
      </c>
      <c r="B87">
        <v>12</v>
      </c>
      <c r="C87">
        <v>1</v>
      </c>
      <c r="F87" t="s">
        <v>6</v>
      </c>
      <c r="G87">
        <v>100</v>
      </c>
      <c r="H87">
        <v>1</v>
      </c>
      <c r="I87">
        <v>1E-3</v>
      </c>
    </row>
    <row r="88" spans="1:9" x14ac:dyDescent="0.2">
      <c r="A88" t="s">
        <v>64</v>
      </c>
      <c r="B88">
        <v>12</v>
      </c>
      <c r="C88">
        <v>1</v>
      </c>
      <c r="F88" t="s">
        <v>6</v>
      </c>
      <c r="G88">
        <v>98.181818181818187</v>
      </c>
      <c r="H88">
        <v>1</v>
      </c>
      <c r="I88">
        <v>1E-3</v>
      </c>
    </row>
    <row r="89" spans="1:9" x14ac:dyDescent="0.2">
      <c r="A89" t="s">
        <v>64</v>
      </c>
      <c r="B89">
        <v>12</v>
      </c>
      <c r="C89">
        <v>1</v>
      </c>
      <c r="F89" t="s">
        <v>19</v>
      </c>
      <c r="G89">
        <v>64.166666666666671</v>
      </c>
      <c r="H89">
        <v>1</v>
      </c>
      <c r="I89">
        <v>1E-3</v>
      </c>
    </row>
    <row r="90" spans="1:9" x14ac:dyDescent="0.2">
      <c r="A90" t="s">
        <v>64</v>
      </c>
      <c r="B90">
        <v>12</v>
      </c>
      <c r="C90">
        <v>1</v>
      </c>
      <c r="F90" t="s">
        <v>19</v>
      </c>
      <c r="G90">
        <v>100</v>
      </c>
      <c r="H90">
        <v>1</v>
      </c>
      <c r="I90">
        <v>1E-3</v>
      </c>
    </row>
    <row r="91" spans="1:9" x14ac:dyDescent="0.2">
      <c r="A91" t="s">
        <v>64</v>
      </c>
      <c r="B91">
        <v>12</v>
      </c>
      <c r="C91">
        <v>1</v>
      </c>
      <c r="F91" t="s">
        <v>19</v>
      </c>
      <c r="G91">
        <v>100</v>
      </c>
      <c r="H91">
        <v>1</v>
      </c>
      <c r="I91">
        <v>1E-3</v>
      </c>
    </row>
    <row r="92" spans="1:9" x14ac:dyDescent="0.2">
      <c r="A92" t="s">
        <v>64</v>
      </c>
      <c r="B92">
        <v>12</v>
      </c>
      <c r="C92">
        <v>1</v>
      </c>
      <c r="F92" t="s">
        <v>19</v>
      </c>
      <c r="G92">
        <v>76</v>
      </c>
      <c r="H92">
        <v>1</v>
      </c>
      <c r="I92">
        <v>1E-3</v>
      </c>
    </row>
    <row r="93" spans="1:9" x14ac:dyDescent="0.2">
      <c r="A93" t="s">
        <v>64</v>
      </c>
      <c r="B93">
        <v>12</v>
      </c>
      <c r="C93">
        <v>1</v>
      </c>
      <c r="F93" t="s">
        <v>19</v>
      </c>
      <c r="G93">
        <v>95.336787564766837</v>
      </c>
      <c r="H93">
        <v>1</v>
      </c>
      <c r="I93">
        <v>1E-3</v>
      </c>
    </row>
    <row r="94" spans="1:9" x14ac:dyDescent="0.2">
      <c r="A94" t="s">
        <v>64</v>
      </c>
      <c r="B94">
        <v>12</v>
      </c>
      <c r="C94">
        <v>1</v>
      </c>
      <c r="F94" t="s">
        <v>19</v>
      </c>
      <c r="G94">
        <v>89.928057553956833</v>
      </c>
      <c r="H94">
        <v>1</v>
      </c>
      <c r="I94">
        <v>1E-3</v>
      </c>
    </row>
    <row r="95" spans="1:9" x14ac:dyDescent="0.2">
      <c r="A95" t="s">
        <v>64</v>
      </c>
      <c r="B95">
        <v>12</v>
      </c>
      <c r="C95">
        <v>1</v>
      </c>
      <c r="F95" t="s">
        <v>19</v>
      </c>
      <c r="G95">
        <v>97.368421052631575</v>
      </c>
      <c r="H95">
        <v>1</v>
      </c>
      <c r="I95">
        <v>1E-3</v>
      </c>
    </row>
    <row r="96" spans="1:9" x14ac:dyDescent="0.2">
      <c r="A96" t="s">
        <v>64</v>
      </c>
      <c r="B96">
        <v>13</v>
      </c>
      <c r="C96">
        <v>1</v>
      </c>
      <c r="F96" t="s">
        <v>19</v>
      </c>
      <c r="G96">
        <v>69.135802469135797</v>
      </c>
      <c r="H96">
        <v>1</v>
      </c>
      <c r="I96">
        <v>1E-3</v>
      </c>
    </row>
    <row r="97" spans="1:9" x14ac:dyDescent="0.2">
      <c r="A97" t="s">
        <v>64</v>
      </c>
      <c r="B97">
        <v>13</v>
      </c>
      <c r="C97">
        <v>1</v>
      </c>
      <c r="F97" t="s">
        <v>19</v>
      </c>
      <c r="G97">
        <v>82.30088495575221</v>
      </c>
      <c r="H97">
        <v>1</v>
      </c>
      <c r="I97">
        <v>1E-3</v>
      </c>
    </row>
    <row r="98" spans="1:9" x14ac:dyDescent="0.2">
      <c r="A98" t="s">
        <v>64</v>
      </c>
      <c r="B98">
        <v>13</v>
      </c>
      <c r="C98">
        <v>1</v>
      </c>
      <c r="F98" t="s">
        <v>19</v>
      </c>
      <c r="G98">
        <v>95.56786703601108</v>
      </c>
      <c r="H98">
        <v>1</v>
      </c>
      <c r="I98">
        <v>1E-3</v>
      </c>
    </row>
    <row r="99" spans="1:9" x14ac:dyDescent="0.2">
      <c r="A99" t="s">
        <v>64</v>
      </c>
      <c r="B99">
        <v>13</v>
      </c>
      <c r="C99">
        <v>1</v>
      </c>
      <c r="F99" t="s">
        <v>19</v>
      </c>
      <c r="G99">
        <v>97.833333333333343</v>
      </c>
      <c r="H99">
        <v>1</v>
      </c>
      <c r="I99">
        <v>1E-3</v>
      </c>
    </row>
    <row r="100" spans="1:9" x14ac:dyDescent="0.2">
      <c r="A100" t="s">
        <v>64</v>
      </c>
      <c r="B100">
        <v>13</v>
      </c>
      <c r="C100">
        <v>1</v>
      </c>
      <c r="F100" t="s">
        <v>19</v>
      </c>
      <c r="G100">
        <v>74.193548387096769</v>
      </c>
      <c r="H100">
        <v>1</v>
      </c>
      <c r="I100">
        <v>1E-3</v>
      </c>
    </row>
    <row r="101" spans="1:9" x14ac:dyDescent="0.2">
      <c r="A101" t="s">
        <v>65</v>
      </c>
      <c r="B101">
        <v>12</v>
      </c>
      <c r="C101">
        <v>1</v>
      </c>
      <c r="F101" t="s">
        <v>19</v>
      </c>
      <c r="G101">
        <v>100</v>
      </c>
      <c r="H101">
        <v>1</v>
      </c>
      <c r="I101">
        <v>1E-3</v>
      </c>
    </row>
    <row r="102" spans="1:9" x14ac:dyDescent="0.2">
      <c r="A102" t="s">
        <v>65</v>
      </c>
      <c r="B102">
        <v>12</v>
      </c>
      <c r="C102">
        <v>1</v>
      </c>
      <c r="F102" t="s">
        <v>19</v>
      </c>
      <c r="G102">
        <v>79.166666666666657</v>
      </c>
      <c r="H102">
        <v>1</v>
      </c>
      <c r="I102">
        <v>1E-3</v>
      </c>
    </row>
    <row r="103" spans="1:9" x14ac:dyDescent="0.2">
      <c r="A103" t="s">
        <v>65</v>
      </c>
      <c r="B103">
        <v>12</v>
      </c>
      <c r="C103">
        <v>1</v>
      </c>
      <c r="F103" t="s">
        <v>19</v>
      </c>
      <c r="G103">
        <v>69.565217391304344</v>
      </c>
      <c r="H103">
        <v>1</v>
      </c>
      <c r="I103">
        <v>1E-3</v>
      </c>
    </row>
    <row r="104" spans="1:9" x14ac:dyDescent="0.2">
      <c r="A104" t="s">
        <v>65</v>
      </c>
      <c r="B104">
        <v>12</v>
      </c>
      <c r="C104">
        <v>1</v>
      </c>
      <c r="F104" t="s">
        <v>19</v>
      </c>
      <c r="G104">
        <v>100</v>
      </c>
      <c r="H104">
        <v>1</v>
      </c>
      <c r="I104">
        <v>1E-3</v>
      </c>
    </row>
    <row r="105" spans="1:9" x14ac:dyDescent="0.2">
      <c r="A105" t="s">
        <v>65</v>
      </c>
      <c r="B105">
        <v>12</v>
      </c>
      <c r="C105">
        <v>1</v>
      </c>
      <c r="F105" t="s">
        <v>19</v>
      </c>
      <c r="G105">
        <v>89.473684210526315</v>
      </c>
      <c r="H105">
        <v>1</v>
      </c>
      <c r="I105">
        <v>1E-3</v>
      </c>
    </row>
    <row r="106" spans="1:9" x14ac:dyDescent="0.2">
      <c r="A106" t="s">
        <v>65</v>
      </c>
      <c r="B106">
        <v>12</v>
      </c>
      <c r="C106">
        <v>1</v>
      </c>
      <c r="F106" t="s">
        <v>19</v>
      </c>
      <c r="G106">
        <v>93.877551020408163</v>
      </c>
      <c r="H106">
        <v>1</v>
      </c>
      <c r="I106">
        <v>1E-3</v>
      </c>
    </row>
    <row r="107" spans="1:9" x14ac:dyDescent="0.2">
      <c r="A107" t="s">
        <v>65</v>
      </c>
      <c r="B107">
        <v>12</v>
      </c>
      <c r="C107">
        <v>1</v>
      </c>
      <c r="F107" t="s">
        <v>19</v>
      </c>
      <c r="G107">
        <v>88.770053475935825</v>
      </c>
      <c r="H107">
        <v>1</v>
      </c>
      <c r="I107">
        <v>1E-3</v>
      </c>
    </row>
    <row r="108" spans="1:9" x14ac:dyDescent="0.2">
      <c r="A108" t="s">
        <v>65</v>
      </c>
      <c r="B108">
        <v>12</v>
      </c>
      <c r="C108">
        <v>1</v>
      </c>
      <c r="F108" t="s">
        <v>19</v>
      </c>
      <c r="G108">
        <v>100</v>
      </c>
      <c r="H108">
        <v>1</v>
      </c>
      <c r="I108">
        <v>1E-3</v>
      </c>
    </row>
    <row r="109" spans="1:9" x14ac:dyDescent="0.2">
      <c r="A109" t="s">
        <v>65</v>
      </c>
      <c r="B109">
        <v>12</v>
      </c>
      <c r="C109">
        <v>1</v>
      </c>
      <c r="F109" t="s">
        <v>19</v>
      </c>
      <c r="G109">
        <v>82.278481012658233</v>
      </c>
      <c r="H109">
        <v>1</v>
      </c>
      <c r="I109">
        <v>1E-3</v>
      </c>
    </row>
    <row r="110" spans="1:9" x14ac:dyDescent="0.2">
      <c r="A110" t="s">
        <v>65</v>
      </c>
      <c r="B110">
        <v>12</v>
      </c>
      <c r="C110">
        <v>1</v>
      </c>
      <c r="F110" t="s">
        <v>19</v>
      </c>
      <c r="G110">
        <v>87.096774193548384</v>
      </c>
      <c r="H110">
        <v>1</v>
      </c>
      <c r="I110">
        <v>1E-3</v>
      </c>
    </row>
    <row r="111" spans="1:9" x14ac:dyDescent="0.2">
      <c r="A111" t="s">
        <v>65</v>
      </c>
      <c r="B111">
        <v>12</v>
      </c>
      <c r="C111">
        <v>1</v>
      </c>
      <c r="F111" t="s">
        <v>23</v>
      </c>
      <c r="G111">
        <v>62.857142857142854</v>
      </c>
      <c r="H111">
        <v>1</v>
      </c>
      <c r="I111">
        <v>1E-3</v>
      </c>
    </row>
    <row r="112" spans="1:9" x14ac:dyDescent="0.2">
      <c r="A112" t="s">
        <v>65</v>
      </c>
      <c r="B112">
        <v>13</v>
      </c>
      <c r="C112">
        <v>1</v>
      </c>
      <c r="F112" t="s">
        <v>23</v>
      </c>
      <c r="G112">
        <v>100</v>
      </c>
      <c r="H112">
        <v>1</v>
      </c>
      <c r="I112">
        <v>1E-3</v>
      </c>
    </row>
    <row r="113" spans="1:9" x14ac:dyDescent="0.2">
      <c r="A113" t="s">
        <v>65</v>
      </c>
      <c r="B113">
        <v>13</v>
      </c>
      <c r="C113">
        <v>1</v>
      </c>
      <c r="F113" t="s">
        <v>23</v>
      </c>
      <c r="G113">
        <v>100</v>
      </c>
      <c r="H113">
        <v>1</v>
      </c>
      <c r="I113">
        <v>1E-3</v>
      </c>
    </row>
    <row r="114" spans="1:9" x14ac:dyDescent="0.2">
      <c r="A114" t="s">
        <v>65</v>
      </c>
      <c r="B114">
        <v>13</v>
      </c>
      <c r="C114">
        <v>1</v>
      </c>
      <c r="F114" t="s">
        <v>23</v>
      </c>
      <c r="G114">
        <v>100</v>
      </c>
      <c r="H114">
        <v>1</v>
      </c>
      <c r="I114">
        <v>1E-3</v>
      </c>
    </row>
    <row r="115" spans="1:9" x14ac:dyDescent="0.2">
      <c r="A115" t="s">
        <v>65</v>
      </c>
      <c r="B115">
        <v>13</v>
      </c>
      <c r="C115">
        <v>1</v>
      </c>
      <c r="F115" t="s">
        <v>23</v>
      </c>
      <c r="G115">
        <v>72.368421052631575</v>
      </c>
      <c r="H115">
        <v>1</v>
      </c>
      <c r="I115">
        <v>1E-3</v>
      </c>
    </row>
    <row r="116" spans="1:9" x14ac:dyDescent="0.2">
      <c r="A116" t="s">
        <v>65</v>
      </c>
      <c r="B116">
        <v>13</v>
      </c>
      <c r="C116">
        <v>1</v>
      </c>
      <c r="F116" t="s">
        <v>23</v>
      </c>
      <c r="G116">
        <v>100</v>
      </c>
      <c r="H116">
        <v>1</v>
      </c>
      <c r="I116">
        <v>1E-3</v>
      </c>
    </row>
    <row r="117" spans="1:9" x14ac:dyDescent="0.2">
      <c r="A117" t="s">
        <v>65</v>
      </c>
      <c r="B117">
        <v>13</v>
      </c>
      <c r="C117">
        <v>1</v>
      </c>
      <c r="F117" t="s">
        <v>23</v>
      </c>
      <c r="G117">
        <v>95.081967213114751</v>
      </c>
      <c r="H117">
        <v>1</v>
      </c>
      <c r="I117">
        <v>1E-3</v>
      </c>
    </row>
    <row r="118" spans="1:9" x14ac:dyDescent="0.2">
      <c r="A118" t="s">
        <v>65</v>
      </c>
      <c r="B118">
        <v>13</v>
      </c>
      <c r="C118">
        <v>1</v>
      </c>
      <c r="F118" t="s">
        <v>23</v>
      </c>
      <c r="G118">
        <v>72</v>
      </c>
      <c r="H118">
        <v>1</v>
      </c>
      <c r="I118">
        <v>1E-3</v>
      </c>
    </row>
    <row r="119" spans="1:9" x14ac:dyDescent="0.2">
      <c r="A119" t="s">
        <v>65</v>
      </c>
      <c r="B119">
        <v>13</v>
      </c>
      <c r="C119">
        <v>1</v>
      </c>
      <c r="F119" t="s">
        <v>23</v>
      </c>
      <c r="G119">
        <v>96.202531645569621</v>
      </c>
      <c r="H119">
        <v>1</v>
      </c>
      <c r="I119">
        <v>1E-3</v>
      </c>
    </row>
    <row r="120" spans="1:9" x14ac:dyDescent="0.2">
      <c r="A120" t="s">
        <v>65</v>
      </c>
      <c r="B120">
        <v>13</v>
      </c>
      <c r="C120">
        <v>1</v>
      </c>
      <c r="F120" t="s">
        <v>23</v>
      </c>
      <c r="G120">
        <v>100</v>
      </c>
      <c r="H120">
        <v>1</v>
      </c>
      <c r="I120">
        <v>1E-3</v>
      </c>
    </row>
    <row r="121" spans="1:9" x14ac:dyDescent="0.2">
      <c r="A121" t="s">
        <v>65</v>
      </c>
      <c r="B121">
        <v>13</v>
      </c>
      <c r="C121">
        <v>1</v>
      </c>
      <c r="F121" t="s">
        <v>23</v>
      </c>
      <c r="G121">
        <v>97.142857142857139</v>
      </c>
      <c r="H121">
        <v>1</v>
      </c>
      <c r="I121">
        <v>1E-3</v>
      </c>
    </row>
    <row r="122" spans="1:9" x14ac:dyDescent="0.2">
      <c r="A122" t="s">
        <v>65</v>
      </c>
      <c r="B122">
        <v>13</v>
      </c>
      <c r="C122">
        <v>1</v>
      </c>
      <c r="F122" t="s">
        <v>23</v>
      </c>
      <c r="G122">
        <v>79.032258064516128</v>
      </c>
      <c r="H122">
        <v>1</v>
      </c>
      <c r="I122">
        <v>1E-3</v>
      </c>
    </row>
    <row r="123" spans="1:9" x14ac:dyDescent="0.2">
      <c r="A123" t="s">
        <v>65</v>
      </c>
      <c r="B123">
        <v>13</v>
      </c>
      <c r="C123">
        <v>1</v>
      </c>
      <c r="F123" t="s">
        <v>23</v>
      </c>
      <c r="G123">
        <v>97.70992366412213</v>
      </c>
      <c r="H123">
        <v>1</v>
      </c>
      <c r="I123">
        <v>1E-3</v>
      </c>
    </row>
    <row r="124" spans="1:9" x14ac:dyDescent="0.2">
      <c r="A124" t="s">
        <v>65</v>
      </c>
      <c r="B124">
        <v>13</v>
      </c>
      <c r="C124">
        <v>1</v>
      </c>
      <c r="F124" t="s">
        <v>23</v>
      </c>
      <c r="G124">
        <v>98.571428571428584</v>
      </c>
      <c r="H124">
        <v>1</v>
      </c>
      <c r="I124">
        <v>1E-3</v>
      </c>
    </row>
    <row r="125" spans="1:9" x14ac:dyDescent="0.2">
      <c r="A125" t="s">
        <v>65</v>
      </c>
      <c r="B125">
        <v>13</v>
      </c>
      <c r="C125">
        <v>1</v>
      </c>
      <c r="F125" t="s">
        <v>23</v>
      </c>
      <c r="G125">
        <v>86.111111111111114</v>
      </c>
      <c r="H125">
        <v>1</v>
      </c>
      <c r="I125">
        <v>1E-3</v>
      </c>
    </row>
    <row r="126" spans="1:9" x14ac:dyDescent="0.2">
      <c r="A126" t="s">
        <v>65</v>
      </c>
      <c r="B126">
        <v>14</v>
      </c>
      <c r="C126">
        <v>1</v>
      </c>
      <c r="F126" t="s">
        <v>23</v>
      </c>
      <c r="G126">
        <v>93.548387096774192</v>
      </c>
      <c r="H126">
        <v>1</v>
      </c>
      <c r="I126">
        <v>1E-3</v>
      </c>
    </row>
    <row r="127" spans="1:9" x14ac:dyDescent="0.2">
      <c r="A127" t="s">
        <v>65</v>
      </c>
      <c r="B127">
        <v>14</v>
      </c>
      <c r="C127">
        <v>1</v>
      </c>
      <c r="F127" t="s">
        <v>23</v>
      </c>
      <c r="G127">
        <v>94.73684210526315</v>
      </c>
      <c r="H127">
        <v>1</v>
      </c>
      <c r="I127">
        <v>1E-3</v>
      </c>
    </row>
    <row r="128" spans="1:9" x14ac:dyDescent="0.2">
      <c r="A128" t="s">
        <v>65</v>
      </c>
      <c r="B128">
        <v>14</v>
      </c>
      <c r="C128">
        <v>1</v>
      </c>
      <c r="F128" t="s">
        <v>23</v>
      </c>
      <c r="G128">
        <v>73.333333333333329</v>
      </c>
      <c r="H128">
        <v>1</v>
      </c>
      <c r="I128">
        <v>1E-3</v>
      </c>
    </row>
    <row r="129" spans="1:9" x14ac:dyDescent="0.2">
      <c r="A129" t="s">
        <v>65</v>
      </c>
      <c r="B129">
        <v>14</v>
      </c>
      <c r="C129">
        <v>1</v>
      </c>
      <c r="F129" t="s">
        <v>23</v>
      </c>
      <c r="G129">
        <v>79.069767441860463</v>
      </c>
      <c r="H129">
        <v>1</v>
      </c>
      <c r="I129">
        <v>1E-3</v>
      </c>
    </row>
    <row r="130" spans="1:9" x14ac:dyDescent="0.2">
      <c r="A130" t="s">
        <v>65</v>
      </c>
      <c r="B130">
        <v>14</v>
      </c>
      <c r="C130">
        <v>1</v>
      </c>
      <c r="F130" t="s">
        <v>23</v>
      </c>
      <c r="G130">
        <v>100</v>
      </c>
      <c r="H130">
        <v>1</v>
      </c>
      <c r="I130">
        <v>1E-3</v>
      </c>
    </row>
    <row r="131" spans="1:9" x14ac:dyDescent="0.2">
      <c r="A131" t="s">
        <v>65</v>
      </c>
      <c r="B131">
        <v>14</v>
      </c>
      <c r="C131">
        <v>1</v>
      </c>
      <c r="F131" t="s">
        <v>23</v>
      </c>
      <c r="G131">
        <v>86.419753086419746</v>
      </c>
      <c r="H131">
        <v>1</v>
      </c>
      <c r="I131">
        <v>1E-3</v>
      </c>
    </row>
    <row r="132" spans="1:9" x14ac:dyDescent="0.2">
      <c r="A132" t="s">
        <v>65</v>
      </c>
      <c r="B132">
        <v>14</v>
      </c>
      <c r="C132">
        <v>1</v>
      </c>
      <c r="F132" t="s">
        <v>23</v>
      </c>
      <c r="G132">
        <v>100</v>
      </c>
      <c r="H132">
        <v>1</v>
      </c>
      <c r="I132">
        <v>1E-3</v>
      </c>
    </row>
    <row r="133" spans="1:9" x14ac:dyDescent="0.2">
      <c r="A133" t="s">
        <v>65</v>
      </c>
      <c r="B133">
        <v>14</v>
      </c>
      <c r="C133">
        <v>1</v>
      </c>
    </row>
    <row r="134" spans="1:9" x14ac:dyDescent="0.2">
      <c r="A134" t="s">
        <v>65</v>
      </c>
      <c r="B134">
        <v>14</v>
      </c>
      <c r="C134">
        <v>1</v>
      </c>
    </row>
    <row r="135" spans="1:9" x14ac:dyDescent="0.2">
      <c r="A135" t="s">
        <v>65</v>
      </c>
      <c r="B135">
        <v>14</v>
      </c>
      <c r="C135">
        <v>1</v>
      </c>
    </row>
    <row r="136" spans="1:9" x14ac:dyDescent="0.2">
      <c r="A136" t="s">
        <v>65</v>
      </c>
      <c r="B136">
        <v>14</v>
      </c>
      <c r="C136">
        <v>1</v>
      </c>
    </row>
    <row r="137" spans="1:9" x14ac:dyDescent="0.2">
      <c r="A137" t="s">
        <v>65</v>
      </c>
      <c r="B137">
        <v>14</v>
      </c>
      <c r="C137">
        <v>1</v>
      </c>
    </row>
    <row r="138" spans="1:9" x14ac:dyDescent="0.2">
      <c r="A138" t="s">
        <v>65</v>
      </c>
      <c r="B138">
        <v>14</v>
      </c>
      <c r="C138">
        <v>1</v>
      </c>
    </row>
    <row r="139" spans="1:9" x14ac:dyDescent="0.2">
      <c r="A139" t="s">
        <v>65</v>
      </c>
      <c r="B139">
        <v>14</v>
      </c>
      <c r="C139">
        <v>1</v>
      </c>
    </row>
    <row r="140" spans="1:9" x14ac:dyDescent="0.2">
      <c r="A140" t="s">
        <v>65</v>
      </c>
      <c r="B140">
        <v>14</v>
      </c>
      <c r="C140">
        <v>1</v>
      </c>
    </row>
    <row r="141" spans="1:9" x14ac:dyDescent="0.2">
      <c r="A141" t="s">
        <v>65</v>
      </c>
      <c r="B141">
        <v>14</v>
      </c>
      <c r="C141">
        <v>1</v>
      </c>
    </row>
    <row r="142" spans="1:9" x14ac:dyDescent="0.2">
      <c r="A142" t="s">
        <v>65</v>
      </c>
      <c r="B142">
        <v>15</v>
      </c>
      <c r="C142">
        <v>1</v>
      </c>
    </row>
    <row r="143" spans="1:9" x14ac:dyDescent="0.2">
      <c r="A143" t="s">
        <v>65</v>
      </c>
      <c r="B143">
        <v>15</v>
      </c>
      <c r="C143">
        <v>1</v>
      </c>
    </row>
    <row r="144" spans="1:9" x14ac:dyDescent="0.2">
      <c r="A144" t="s">
        <v>65</v>
      </c>
      <c r="B144">
        <v>15</v>
      </c>
      <c r="C144">
        <v>1</v>
      </c>
    </row>
    <row r="145" spans="1:3" x14ac:dyDescent="0.2">
      <c r="A145" t="s">
        <v>65</v>
      </c>
      <c r="B145">
        <v>15</v>
      </c>
      <c r="C145">
        <v>1</v>
      </c>
    </row>
    <row r="146" spans="1:3" x14ac:dyDescent="0.2">
      <c r="A146" t="s">
        <v>65</v>
      </c>
      <c r="B146">
        <v>15</v>
      </c>
      <c r="C146">
        <v>1</v>
      </c>
    </row>
    <row r="147" spans="1:3" x14ac:dyDescent="0.2">
      <c r="A147" t="s">
        <v>65</v>
      </c>
      <c r="B147">
        <v>15</v>
      </c>
      <c r="C147">
        <v>1</v>
      </c>
    </row>
    <row r="148" spans="1:3" x14ac:dyDescent="0.2">
      <c r="A148" t="s">
        <v>65</v>
      </c>
      <c r="B148">
        <v>15</v>
      </c>
      <c r="C148">
        <v>1</v>
      </c>
    </row>
    <row r="149" spans="1:3" x14ac:dyDescent="0.2">
      <c r="A149" t="s">
        <v>65</v>
      </c>
      <c r="B149">
        <v>15</v>
      </c>
      <c r="C149">
        <v>1</v>
      </c>
    </row>
    <row r="150" spans="1:3" x14ac:dyDescent="0.2">
      <c r="A150" t="s">
        <v>65</v>
      </c>
      <c r="B150">
        <v>15</v>
      </c>
      <c r="C150">
        <v>1</v>
      </c>
    </row>
    <row r="151" spans="1:3" x14ac:dyDescent="0.2">
      <c r="A151" t="s">
        <v>65</v>
      </c>
      <c r="B151">
        <v>16</v>
      </c>
      <c r="C15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2BBCF-47EB-D841-B73D-51897AFA04A2}">
  <dimension ref="A1:AG68"/>
  <sheetViews>
    <sheetView workbookViewId="0">
      <selection activeCell="H12" sqref="H12"/>
    </sheetView>
  </sheetViews>
  <sheetFormatPr baseColWidth="10" defaultRowHeight="16" x14ac:dyDescent="0.2"/>
  <sheetData>
    <row r="1" spans="1:33" x14ac:dyDescent="0.2">
      <c r="K1" t="s">
        <v>17</v>
      </c>
      <c r="L1" t="s">
        <v>15</v>
      </c>
      <c r="M1" t="s">
        <v>60</v>
      </c>
      <c r="O1" t="s">
        <v>17</v>
      </c>
      <c r="P1" t="s">
        <v>15</v>
      </c>
      <c r="Q1" t="s">
        <v>60</v>
      </c>
      <c r="S1" t="s">
        <v>17</v>
      </c>
      <c r="T1" t="s">
        <v>15</v>
      </c>
      <c r="U1" t="s">
        <v>60</v>
      </c>
      <c r="W1" t="s">
        <v>17</v>
      </c>
      <c r="X1" t="s">
        <v>15</v>
      </c>
      <c r="Y1" t="s">
        <v>60</v>
      </c>
      <c r="AA1" t="s">
        <v>17</v>
      </c>
      <c r="AB1" t="s">
        <v>15</v>
      </c>
      <c r="AC1" t="s">
        <v>27</v>
      </c>
      <c r="AE1" t="s">
        <v>17</v>
      </c>
      <c r="AF1" t="s">
        <v>15</v>
      </c>
      <c r="AG1" t="s">
        <v>27</v>
      </c>
    </row>
    <row r="2" spans="1:33" x14ac:dyDescent="0.2">
      <c r="B2" t="s">
        <v>0</v>
      </c>
      <c r="C2" t="s">
        <v>1</v>
      </c>
      <c r="K2" t="s">
        <v>18</v>
      </c>
      <c r="L2">
        <v>574</v>
      </c>
      <c r="M2">
        <v>1</v>
      </c>
      <c r="O2" t="s">
        <v>21</v>
      </c>
      <c r="P2">
        <v>245</v>
      </c>
      <c r="Q2">
        <v>1</v>
      </c>
      <c r="S2" t="s">
        <v>6</v>
      </c>
      <c r="T2">
        <v>973</v>
      </c>
      <c r="U2">
        <v>1</v>
      </c>
      <c r="W2" t="s">
        <v>6</v>
      </c>
      <c r="X2">
        <v>26</v>
      </c>
      <c r="Y2">
        <v>1</v>
      </c>
      <c r="AA2" t="s">
        <v>6</v>
      </c>
      <c r="AB2">
        <v>9</v>
      </c>
      <c r="AC2">
        <v>1</v>
      </c>
      <c r="AE2" t="s">
        <v>29</v>
      </c>
      <c r="AF2">
        <v>1834</v>
      </c>
      <c r="AG2">
        <v>1</v>
      </c>
    </row>
    <row r="3" spans="1:33" x14ac:dyDescent="0.2">
      <c r="A3" t="s">
        <v>2</v>
      </c>
      <c r="B3" t="s">
        <v>69</v>
      </c>
      <c r="C3" t="s">
        <v>6</v>
      </c>
      <c r="K3" t="s">
        <v>18</v>
      </c>
      <c r="L3">
        <v>145</v>
      </c>
      <c r="M3">
        <v>1</v>
      </c>
      <c r="O3" t="s">
        <v>21</v>
      </c>
      <c r="P3">
        <v>52</v>
      </c>
      <c r="Q3">
        <v>1</v>
      </c>
      <c r="S3" t="s">
        <v>6</v>
      </c>
      <c r="T3">
        <v>156</v>
      </c>
      <c r="U3">
        <v>1</v>
      </c>
      <c r="W3" t="s">
        <v>6</v>
      </c>
      <c r="X3">
        <v>679</v>
      </c>
      <c r="Y3">
        <v>1</v>
      </c>
      <c r="AA3" t="s">
        <v>6</v>
      </c>
      <c r="AB3">
        <v>371</v>
      </c>
      <c r="AC3">
        <v>1</v>
      </c>
      <c r="AE3" t="s">
        <v>29</v>
      </c>
      <c r="AG3">
        <v>0</v>
      </c>
    </row>
    <row r="4" spans="1:33" x14ac:dyDescent="0.2">
      <c r="A4" s="1" t="s">
        <v>5</v>
      </c>
      <c r="B4" t="s">
        <v>69</v>
      </c>
      <c r="C4" s="1" t="s">
        <v>4</v>
      </c>
      <c r="K4" t="s">
        <v>18</v>
      </c>
      <c r="L4">
        <v>54</v>
      </c>
      <c r="M4">
        <v>1</v>
      </c>
      <c r="O4" t="s">
        <v>21</v>
      </c>
      <c r="P4">
        <v>831</v>
      </c>
      <c r="Q4">
        <v>1</v>
      </c>
      <c r="S4" t="s">
        <v>6</v>
      </c>
      <c r="T4">
        <v>393</v>
      </c>
      <c r="U4">
        <v>1</v>
      </c>
      <c r="W4" t="s">
        <v>6</v>
      </c>
      <c r="X4">
        <v>462</v>
      </c>
      <c r="Y4">
        <v>1</v>
      </c>
      <c r="AA4" t="s">
        <v>6</v>
      </c>
      <c r="AB4">
        <v>312</v>
      </c>
      <c r="AC4">
        <v>1</v>
      </c>
      <c r="AE4" t="s">
        <v>29</v>
      </c>
      <c r="AF4">
        <v>1113</v>
      </c>
      <c r="AG4">
        <v>1</v>
      </c>
    </row>
    <row r="5" spans="1:33" x14ac:dyDescent="0.2">
      <c r="K5" t="s">
        <v>18</v>
      </c>
      <c r="L5">
        <v>97</v>
      </c>
      <c r="M5">
        <v>1</v>
      </c>
      <c r="O5" t="s">
        <v>21</v>
      </c>
      <c r="P5">
        <v>204</v>
      </c>
      <c r="Q5">
        <v>1</v>
      </c>
      <c r="S5" t="s">
        <v>6</v>
      </c>
      <c r="T5">
        <v>646</v>
      </c>
      <c r="U5">
        <v>1</v>
      </c>
      <c r="W5" t="s">
        <v>6</v>
      </c>
      <c r="X5">
        <v>210</v>
      </c>
      <c r="Y5">
        <v>1</v>
      </c>
      <c r="AA5" t="s">
        <v>6</v>
      </c>
      <c r="AB5">
        <v>26</v>
      </c>
      <c r="AC5">
        <v>1</v>
      </c>
      <c r="AE5" t="s">
        <v>29</v>
      </c>
      <c r="AF5">
        <v>470</v>
      </c>
      <c r="AG5">
        <v>1</v>
      </c>
    </row>
    <row r="6" spans="1:33" x14ac:dyDescent="0.2">
      <c r="A6" t="s">
        <v>7</v>
      </c>
      <c r="B6" s="5" t="s">
        <v>8</v>
      </c>
      <c r="C6" s="5"/>
      <c r="D6" s="5"/>
      <c r="E6" s="5"/>
      <c r="F6" s="5"/>
      <c r="G6" s="5"/>
      <c r="H6" s="5"/>
      <c r="I6" s="5"/>
      <c r="K6" t="s">
        <v>18</v>
      </c>
      <c r="L6">
        <v>1827</v>
      </c>
      <c r="M6">
        <v>1</v>
      </c>
      <c r="O6" t="s">
        <v>21</v>
      </c>
      <c r="Q6">
        <v>0</v>
      </c>
      <c r="S6" t="s">
        <v>6</v>
      </c>
      <c r="T6">
        <v>80</v>
      </c>
      <c r="U6">
        <v>1</v>
      </c>
      <c r="W6" t="s">
        <v>6</v>
      </c>
      <c r="X6">
        <v>209</v>
      </c>
      <c r="Y6">
        <v>1</v>
      </c>
      <c r="AA6" t="s">
        <v>6</v>
      </c>
      <c r="AB6">
        <v>10</v>
      </c>
      <c r="AC6">
        <v>1</v>
      </c>
      <c r="AE6" t="s">
        <v>29</v>
      </c>
      <c r="AF6">
        <v>1012</v>
      </c>
      <c r="AG6">
        <v>1</v>
      </c>
    </row>
    <row r="7" spans="1:33" x14ac:dyDescent="0.2">
      <c r="K7" t="s">
        <v>18</v>
      </c>
      <c r="M7">
        <v>0</v>
      </c>
      <c r="O7" t="s">
        <v>21</v>
      </c>
      <c r="P7">
        <v>615</v>
      </c>
      <c r="Q7">
        <v>1</v>
      </c>
      <c r="S7" t="s">
        <v>6</v>
      </c>
      <c r="U7">
        <v>0</v>
      </c>
      <c r="W7" t="s">
        <v>6</v>
      </c>
      <c r="X7">
        <v>73</v>
      </c>
      <c r="Y7">
        <v>1</v>
      </c>
      <c r="AA7" t="s">
        <v>6</v>
      </c>
      <c r="AB7">
        <v>16</v>
      </c>
      <c r="AC7">
        <v>1</v>
      </c>
      <c r="AE7" t="s">
        <v>29</v>
      </c>
      <c r="AF7">
        <v>18</v>
      </c>
      <c r="AG7">
        <v>1</v>
      </c>
    </row>
    <row r="8" spans="1:33" x14ac:dyDescent="0.2">
      <c r="A8" t="s">
        <v>9</v>
      </c>
      <c r="B8" t="s">
        <v>10</v>
      </c>
      <c r="K8" t="s">
        <v>18</v>
      </c>
      <c r="L8">
        <v>490</v>
      </c>
      <c r="M8">
        <v>1</v>
      </c>
      <c r="O8" t="s">
        <v>21</v>
      </c>
      <c r="P8">
        <v>644</v>
      </c>
      <c r="Q8">
        <v>1</v>
      </c>
      <c r="S8" t="s">
        <v>6</v>
      </c>
      <c r="T8">
        <v>119</v>
      </c>
      <c r="U8">
        <v>1</v>
      </c>
      <c r="W8" t="s">
        <v>6</v>
      </c>
      <c r="X8">
        <v>298</v>
      </c>
      <c r="Y8">
        <v>1</v>
      </c>
      <c r="AA8" t="s">
        <v>6</v>
      </c>
      <c r="AB8">
        <v>67</v>
      </c>
      <c r="AC8">
        <v>1</v>
      </c>
      <c r="AE8" t="s">
        <v>29</v>
      </c>
      <c r="AG8">
        <v>0</v>
      </c>
    </row>
    <row r="9" spans="1:33" x14ac:dyDescent="0.2">
      <c r="A9" t="s">
        <v>11</v>
      </c>
      <c r="B9" t="s">
        <v>12</v>
      </c>
      <c r="K9" t="s">
        <v>18</v>
      </c>
      <c r="L9">
        <v>598</v>
      </c>
      <c r="M9">
        <v>1</v>
      </c>
      <c r="O9" t="s">
        <v>21</v>
      </c>
      <c r="P9">
        <v>911</v>
      </c>
      <c r="Q9">
        <v>1</v>
      </c>
      <c r="S9" t="s">
        <v>6</v>
      </c>
      <c r="T9">
        <v>570</v>
      </c>
      <c r="U9">
        <v>1</v>
      </c>
      <c r="W9" t="s">
        <v>6</v>
      </c>
      <c r="X9">
        <v>406</v>
      </c>
      <c r="Y9">
        <v>1</v>
      </c>
      <c r="AA9" t="s">
        <v>6</v>
      </c>
      <c r="AB9">
        <v>2</v>
      </c>
      <c r="AC9">
        <v>1</v>
      </c>
      <c r="AE9" t="s">
        <v>29</v>
      </c>
      <c r="AF9">
        <v>17</v>
      </c>
      <c r="AG9">
        <v>1</v>
      </c>
    </row>
    <row r="10" spans="1:33" x14ac:dyDescent="0.2">
      <c r="K10" t="s">
        <v>18</v>
      </c>
      <c r="L10">
        <v>995</v>
      </c>
      <c r="M10">
        <v>1</v>
      </c>
      <c r="O10" t="s">
        <v>21</v>
      </c>
      <c r="P10">
        <v>176</v>
      </c>
      <c r="Q10">
        <v>1</v>
      </c>
      <c r="S10" t="s">
        <v>6</v>
      </c>
      <c r="T10">
        <v>795</v>
      </c>
      <c r="U10">
        <v>1</v>
      </c>
      <c r="W10" t="s">
        <v>6</v>
      </c>
      <c r="X10">
        <v>835</v>
      </c>
      <c r="Y10">
        <v>1</v>
      </c>
      <c r="AA10" t="s">
        <v>6</v>
      </c>
      <c r="AB10">
        <v>45</v>
      </c>
      <c r="AC10">
        <v>1</v>
      </c>
      <c r="AE10" t="s">
        <v>29</v>
      </c>
      <c r="AF10">
        <v>142</v>
      </c>
      <c r="AG10">
        <v>1</v>
      </c>
    </row>
    <row r="11" spans="1:33" x14ac:dyDescent="0.2">
      <c r="K11" t="s">
        <v>18</v>
      </c>
      <c r="M11">
        <v>0</v>
      </c>
      <c r="O11" t="s">
        <v>21</v>
      </c>
      <c r="P11">
        <v>1699</v>
      </c>
      <c r="Q11">
        <v>1</v>
      </c>
      <c r="S11" t="s">
        <v>6</v>
      </c>
      <c r="U11">
        <v>0</v>
      </c>
      <c r="W11" t="s">
        <v>6</v>
      </c>
      <c r="X11">
        <v>1014</v>
      </c>
      <c r="Y11">
        <v>1</v>
      </c>
      <c r="AA11" t="s">
        <v>6</v>
      </c>
      <c r="AB11">
        <v>345</v>
      </c>
      <c r="AC11">
        <v>1</v>
      </c>
      <c r="AE11" t="s">
        <v>29</v>
      </c>
      <c r="AG11">
        <v>0</v>
      </c>
    </row>
    <row r="12" spans="1:33" x14ac:dyDescent="0.2">
      <c r="A12" t="s">
        <v>26</v>
      </c>
      <c r="K12" t="s">
        <v>18</v>
      </c>
      <c r="L12">
        <v>1827</v>
      </c>
      <c r="M12">
        <v>1</v>
      </c>
      <c r="O12" t="s">
        <v>21</v>
      </c>
      <c r="Q12">
        <v>0</v>
      </c>
      <c r="S12" t="s">
        <v>6</v>
      </c>
      <c r="T12">
        <v>972</v>
      </c>
      <c r="U12">
        <v>1</v>
      </c>
      <c r="W12" t="s">
        <v>6</v>
      </c>
      <c r="Y12">
        <v>0</v>
      </c>
      <c r="AA12" t="s">
        <v>6</v>
      </c>
      <c r="AB12">
        <v>1517</v>
      </c>
      <c r="AC12">
        <v>1</v>
      </c>
      <c r="AE12" t="s">
        <v>29</v>
      </c>
      <c r="AF12">
        <v>576</v>
      </c>
      <c r="AG12">
        <v>1</v>
      </c>
    </row>
    <row r="13" spans="1:33" x14ac:dyDescent="0.2">
      <c r="K13" t="s">
        <v>18</v>
      </c>
      <c r="L13">
        <v>569</v>
      </c>
      <c r="M13">
        <v>1</v>
      </c>
      <c r="O13" t="s">
        <v>21</v>
      </c>
      <c r="P13">
        <v>413</v>
      </c>
      <c r="Q13">
        <v>1</v>
      </c>
      <c r="S13" t="s">
        <v>6</v>
      </c>
      <c r="T13">
        <v>407</v>
      </c>
      <c r="U13">
        <v>1</v>
      </c>
      <c r="W13" t="s">
        <v>6</v>
      </c>
      <c r="X13">
        <v>231</v>
      </c>
      <c r="Y13">
        <v>1</v>
      </c>
      <c r="AA13" t="s">
        <v>6</v>
      </c>
      <c r="AB13">
        <v>1405</v>
      </c>
      <c r="AC13">
        <v>1</v>
      </c>
      <c r="AE13" t="s">
        <v>29</v>
      </c>
      <c r="AG13">
        <v>0</v>
      </c>
    </row>
    <row r="14" spans="1:33" x14ac:dyDescent="0.2">
      <c r="K14" t="s">
        <v>18</v>
      </c>
      <c r="L14">
        <v>482</v>
      </c>
      <c r="M14">
        <v>1</v>
      </c>
      <c r="O14" t="s">
        <v>21</v>
      </c>
      <c r="P14">
        <v>1195</v>
      </c>
      <c r="Q14">
        <v>1</v>
      </c>
      <c r="S14" t="s">
        <v>6</v>
      </c>
      <c r="T14">
        <v>91</v>
      </c>
      <c r="U14">
        <v>1</v>
      </c>
      <c r="W14" t="s">
        <v>6</v>
      </c>
      <c r="Y14">
        <v>0</v>
      </c>
      <c r="AA14" t="s">
        <v>6</v>
      </c>
      <c r="AB14">
        <v>3058</v>
      </c>
      <c r="AC14">
        <v>1</v>
      </c>
      <c r="AE14" t="s">
        <v>29</v>
      </c>
      <c r="AF14">
        <v>242</v>
      </c>
      <c r="AG14">
        <v>1</v>
      </c>
    </row>
    <row r="15" spans="1:33" x14ac:dyDescent="0.2">
      <c r="A15" t="s">
        <v>15</v>
      </c>
      <c r="B15" t="s">
        <v>16</v>
      </c>
      <c r="K15" t="s">
        <v>18</v>
      </c>
      <c r="L15">
        <v>815</v>
      </c>
      <c r="M15">
        <v>1</v>
      </c>
      <c r="O15" t="s">
        <v>21</v>
      </c>
      <c r="P15">
        <v>67</v>
      </c>
      <c r="Q15">
        <v>1</v>
      </c>
      <c r="S15" t="s">
        <v>19</v>
      </c>
      <c r="T15">
        <v>221</v>
      </c>
      <c r="U15">
        <v>1</v>
      </c>
      <c r="W15" t="s">
        <v>6</v>
      </c>
      <c r="X15">
        <v>873</v>
      </c>
      <c r="Y15">
        <v>1</v>
      </c>
      <c r="AA15" t="s">
        <v>6</v>
      </c>
      <c r="AB15">
        <v>17</v>
      </c>
      <c r="AC15">
        <v>1</v>
      </c>
      <c r="AE15" t="s">
        <v>29</v>
      </c>
      <c r="AF15">
        <v>37</v>
      </c>
      <c r="AG15">
        <v>1</v>
      </c>
    </row>
    <row r="16" spans="1:33" x14ac:dyDescent="0.2">
      <c r="K16" t="s">
        <v>18</v>
      </c>
      <c r="L16">
        <v>878</v>
      </c>
      <c r="M16">
        <v>1</v>
      </c>
      <c r="O16" t="s">
        <v>21</v>
      </c>
      <c r="P16">
        <v>1121</v>
      </c>
      <c r="Q16">
        <v>1</v>
      </c>
      <c r="S16" t="s">
        <v>19</v>
      </c>
      <c r="T16">
        <v>111</v>
      </c>
      <c r="U16">
        <v>1</v>
      </c>
      <c r="W16" t="s">
        <v>6</v>
      </c>
      <c r="X16">
        <v>156</v>
      </c>
      <c r="Y16">
        <v>1</v>
      </c>
      <c r="AA16" t="s">
        <v>6</v>
      </c>
      <c r="AB16">
        <v>2788</v>
      </c>
      <c r="AC16">
        <v>1</v>
      </c>
      <c r="AE16" t="s">
        <v>29</v>
      </c>
      <c r="AF16">
        <v>972</v>
      </c>
      <c r="AG16">
        <v>1</v>
      </c>
    </row>
    <row r="17" spans="11:33" x14ac:dyDescent="0.2">
      <c r="K17" t="s">
        <v>18</v>
      </c>
      <c r="L17">
        <v>976</v>
      </c>
      <c r="M17">
        <v>1</v>
      </c>
      <c r="O17" t="s">
        <v>21</v>
      </c>
      <c r="P17">
        <v>104</v>
      </c>
      <c r="Q17">
        <v>1</v>
      </c>
      <c r="S17" t="s">
        <v>19</v>
      </c>
      <c r="T17">
        <v>42</v>
      </c>
      <c r="U17">
        <v>1</v>
      </c>
      <c r="W17" t="s">
        <v>6</v>
      </c>
      <c r="X17">
        <v>176</v>
      </c>
      <c r="Y17">
        <v>1</v>
      </c>
      <c r="AA17" t="s">
        <v>6</v>
      </c>
      <c r="AB17">
        <v>316</v>
      </c>
      <c r="AC17">
        <v>1</v>
      </c>
      <c r="AE17" t="s">
        <v>29</v>
      </c>
      <c r="AF17">
        <v>226</v>
      </c>
      <c r="AG17">
        <v>1</v>
      </c>
    </row>
    <row r="18" spans="11:33" x14ac:dyDescent="0.2">
      <c r="K18" t="s">
        <v>18</v>
      </c>
      <c r="L18">
        <v>286</v>
      </c>
      <c r="M18">
        <v>1</v>
      </c>
      <c r="O18" t="s">
        <v>21</v>
      </c>
      <c r="P18">
        <v>309</v>
      </c>
      <c r="Q18">
        <v>1</v>
      </c>
      <c r="S18" t="s">
        <v>19</v>
      </c>
      <c r="T18">
        <v>289</v>
      </c>
      <c r="U18">
        <v>1</v>
      </c>
      <c r="W18" t="s">
        <v>6</v>
      </c>
      <c r="Y18">
        <v>0</v>
      </c>
      <c r="AA18" t="s">
        <v>6</v>
      </c>
      <c r="AB18">
        <v>293</v>
      </c>
      <c r="AC18">
        <v>1</v>
      </c>
      <c r="AE18" t="s">
        <v>29</v>
      </c>
      <c r="AF18">
        <v>954</v>
      </c>
      <c r="AG18">
        <v>1</v>
      </c>
    </row>
    <row r="19" spans="11:33" x14ac:dyDescent="0.2">
      <c r="K19" t="s">
        <v>18</v>
      </c>
      <c r="L19">
        <v>864</v>
      </c>
      <c r="M19">
        <v>1</v>
      </c>
      <c r="O19" t="s">
        <v>21</v>
      </c>
      <c r="P19">
        <v>932</v>
      </c>
      <c r="Q19">
        <v>1</v>
      </c>
      <c r="S19" t="s">
        <v>19</v>
      </c>
      <c r="T19">
        <v>1148</v>
      </c>
      <c r="U19">
        <v>1</v>
      </c>
      <c r="W19" t="s">
        <v>6</v>
      </c>
      <c r="X19">
        <v>1745</v>
      </c>
      <c r="Y19">
        <v>1</v>
      </c>
      <c r="AA19" t="s">
        <v>6</v>
      </c>
      <c r="AB19">
        <v>25</v>
      </c>
      <c r="AC19">
        <v>1</v>
      </c>
      <c r="AE19" t="s">
        <v>29</v>
      </c>
      <c r="AF19">
        <v>37</v>
      </c>
      <c r="AG19">
        <v>1</v>
      </c>
    </row>
    <row r="20" spans="11:33" x14ac:dyDescent="0.2">
      <c r="K20" t="s">
        <v>19</v>
      </c>
      <c r="L20">
        <v>179</v>
      </c>
      <c r="M20">
        <v>1</v>
      </c>
      <c r="O20" t="s">
        <v>21</v>
      </c>
      <c r="P20">
        <v>602</v>
      </c>
      <c r="Q20">
        <v>1</v>
      </c>
      <c r="S20" t="s">
        <v>19</v>
      </c>
      <c r="T20">
        <v>308</v>
      </c>
      <c r="U20">
        <v>1</v>
      </c>
      <c r="W20" t="s">
        <v>6</v>
      </c>
      <c r="X20">
        <v>40</v>
      </c>
      <c r="Y20">
        <v>1</v>
      </c>
      <c r="AA20" t="s">
        <v>6</v>
      </c>
      <c r="AB20">
        <v>55</v>
      </c>
      <c r="AC20">
        <v>1</v>
      </c>
      <c r="AE20" t="s">
        <v>29</v>
      </c>
      <c r="AF20">
        <v>436</v>
      </c>
      <c r="AG20">
        <v>1</v>
      </c>
    </row>
    <row r="21" spans="11:33" x14ac:dyDescent="0.2">
      <c r="K21" t="s">
        <v>19</v>
      </c>
      <c r="L21">
        <v>863</v>
      </c>
      <c r="M21">
        <v>1</v>
      </c>
      <c r="O21" t="s">
        <v>6</v>
      </c>
      <c r="P21">
        <v>203</v>
      </c>
      <c r="Q21">
        <v>1</v>
      </c>
      <c r="S21" t="s">
        <v>19</v>
      </c>
      <c r="T21">
        <v>491</v>
      </c>
      <c r="U21">
        <v>1</v>
      </c>
      <c r="W21" t="s">
        <v>6</v>
      </c>
      <c r="X21">
        <v>34</v>
      </c>
      <c r="Y21">
        <v>1</v>
      </c>
      <c r="AA21" t="s">
        <v>19</v>
      </c>
      <c r="AB21">
        <v>196</v>
      </c>
      <c r="AC21">
        <v>1</v>
      </c>
      <c r="AE21" t="s">
        <v>29</v>
      </c>
      <c r="AF21">
        <v>412</v>
      </c>
      <c r="AG21">
        <v>1</v>
      </c>
    </row>
    <row r="22" spans="11:33" x14ac:dyDescent="0.2">
      <c r="K22" t="s">
        <v>19</v>
      </c>
      <c r="M22">
        <v>0</v>
      </c>
      <c r="O22" t="s">
        <v>6</v>
      </c>
      <c r="P22">
        <v>606</v>
      </c>
      <c r="Q22">
        <v>1</v>
      </c>
      <c r="S22" t="s">
        <v>19</v>
      </c>
      <c r="T22">
        <v>493</v>
      </c>
      <c r="U22">
        <v>1</v>
      </c>
      <c r="W22" t="s">
        <v>6</v>
      </c>
      <c r="X22">
        <v>805</v>
      </c>
      <c r="Y22">
        <v>1</v>
      </c>
      <c r="AA22" t="s">
        <v>19</v>
      </c>
      <c r="AC22">
        <v>0</v>
      </c>
      <c r="AE22" t="s">
        <v>29</v>
      </c>
      <c r="AF22">
        <v>90</v>
      </c>
      <c r="AG22">
        <v>1</v>
      </c>
    </row>
    <row r="23" spans="11:33" x14ac:dyDescent="0.2">
      <c r="K23" t="s">
        <v>19</v>
      </c>
      <c r="L23">
        <v>138</v>
      </c>
      <c r="M23">
        <v>1</v>
      </c>
      <c r="O23" t="s">
        <v>6</v>
      </c>
      <c r="P23">
        <v>29</v>
      </c>
      <c r="Q23">
        <v>1</v>
      </c>
      <c r="S23" t="s">
        <v>19</v>
      </c>
      <c r="T23">
        <v>488</v>
      </c>
      <c r="U23">
        <v>1</v>
      </c>
      <c r="W23" t="s">
        <v>19</v>
      </c>
      <c r="X23">
        <v>574</v>
      </c>
      <c r="Y23">
        <v>1</v>
      </c>
      <c r="AA23" t="s">
        <v>19</v>
      </c>
      <c r="AB23">
        <v>157</v>
      </c>
      <c r="AC23">
        <v>1</v>
      </c>
      <c r="AE23" t="s">
        <v>29</v>
      </c>
      <c r="AF23">
        <v>38</v>
      </c>
      <c r="AG23">
        <v>1</v>
      </c>
    </row>
    <row r="24" spans="11:33" x14ac:dyDescent="0.2">
      <c r="K24" t="s">
        <v>19</v>
      </c>
      <c r="L24">
        <v>648</v>
      </c>
      <c r="M24">
        <v>1</v>
      </c>
      <c r="O24" t="s">
        <v>6</v>
      </c>
      <c r="P24">
        <v>281</v>
      </c>
      <c r="Q24">
        <v>1</v>
      </c>
      <c r="S24" t="s">
        <v>19</v>
      </c>
      <c r="T24">
        <v>733</v>
      </c>
      <c r="U24">
        <v>1</v>
      </c>
      <c r="W24" t="s">
        <v>19</v>
      </c>
      <c r="X24">
        <v>1356</v>
      </c>
      <c r="Y24">
        <v>1</v>
      </c>
      <c r="AA24" t="s">
        <v>19</v>
      </c>
      <c r="AB24">
        <v>336</v>
      </c>
      <c r="AC24">
        <v>1</v>
      </c>
      <c r="AE24" t="s">
        <v>19</v>
      </c>
      <c r="AF24">
        <v>24</v>
      </c>
      <c r="AG24">
        <v>1</v>
      </c>
    </row>
    <row r="25" spans="11:33" x14ac:dyDescent="0.2">
      <c r="K25" t="s">
        <v>19</v>
      </c>
      <c r="L25">
        <v>371</v>
      </c>
      <c r="M25">
        <v>1</v>
      </c>
      <c r="O25" t="s">
        <v>6</v>
      </c>
      <c r="P25">
        <v>7</v>
      </c>
      <c r="Q25">
        <v>1</v>
      </c>
      <c r="S25" t="s">
        <v>19</v>
      </c>
      <c r="T25">
        <v>116</v>
      </c>
      <c r="U25">
        <v>1</v>
      </c>
      <c r="W25" t="s">
        <v>19</v>
      </c>
      <c r="X25">
        <v>348</v>
      </c>
      <c r="Y25">
        <v>1</v>
      </c>
      <c r="AA25" t="s">
        <v>19</v>
      </c>
      <c r="AB25">
        <v>614</v>
      </c>
      <c r="AC25">
        <v>1</v>
      </c>
      <c r="AE25" t="s">
        <v>19</v>
      </c>
      <c r="AF25">
        <v>622</v>
      </c>
      <c r="AG25">
        <v>1</v>
      </c>
    </row>
    <row r="26" spans="11:33" x14ac:dyDescent="0.2">
      <c r="K26" t="s">
        <v>19</v>
      </c>
      <c r="L26">
        <v>438</v>
      </c>
      <c r="M26">
        <v>1</v>
      </c>
      <c r="O26" t="s">
        <v>6</v>
      </c>
      <c r="P26">
        <v>76</v>
      </c>
      <c r="Q26">
        <v>1</v>
      </c>
      <c r="S26" t="s">
        <v>19</v>
      </c>
      <c r="T26">
        <v>924</v>
      </c>
      <c r="U26">
        <v>1</v>
      </c>
      <c r="W26" t="s">
        <v>19</v>
      </c>
      <c r="X26">
        <v>423</v>
      </c>
      <c r="Y26">
        <v>1</v>
      </c>
      <c r="AA26" t="s">
        <v>19</v>
      </c>
      <c r="AB26">
        <v>176</v>
      </c>
      <c r="AC26">
        <v>1</v>
      </c>
      <c r="AE26" t="s">
        <v>19</v>
      </c>
      <c r="AF26">
        <v>11</v>
      </c>
      <c r="AG26">
        <v>1</v>
      </c>
    </row>
    <row r="27" spans="11:33" x14ac:dyDescent="0.2">
      <c r="K27" t="s">
        <v>19</v>
      </c>
      <c r="L27">
        <v>679</v>
      </c>
      <c r="M27">
        <v>1</v>
      </c>
      <c r="O27" t="s">
        <v>6</v>
      </c>
      <c r="P27">
        <v>78</v>
      </c>
      <c r="Q27">
        <v>1</v>
      </c>
      <c r="S27" t="s">
        <v>19</v>
      </c>
      <c r="T27">
        <v>926</v>
      </c>
      <c r="U27">
        <v>1</v>
      </c>
      <c r="W27" t="s">
        <v>19</v>
      </c>
      <c r="X27">
        <v>257</v>
      </c>
      <c r="Y27">
        <v>1</v>
      </c>
      <c r="AA27" t="s">
        <v>19</v>
      </c>
      <c r="AB27">
        <v>301</v>
      </c>
      <c r="AC27">
        <v>1</v>
      </c>
      <c r="AE27" t="s">
        <v>19</v>
      </c>
      <c r="AG27">
        <v>0</v>
      </c>
    </row>
    <row r="28" spans="11:33" x14ac:dyDescent="0.2">
      <c r="K28" t="s">
        <v>19</v>
      </c>
      <c r="M28">
        <v>0</v>
      </c>
      <c r="O28" t="s">
        <v>6</v>
      </c>
      <c r="P28">
        <v>41</v>
      </c>
      <c r="Q28">
        <v>1</v>
      </c>
      <c r="S28" t="s">
        <v>19</v>
      </c>
      <c r="T28">
        <v>197</v>
      </c>
      <c r="U28">
        <v>1</v>
      </c>
      <c r="W28" t="s">
        <v>19</v>
      </c>
      <c r="Y28">
        <v>0</v>
      </c>
      <c r="AA28" t="s">
        <v>19</v>
      </c>
      <c r="AB28">
        <v>1674</v>
      </c>
      <c r="AC28">
        <v>1</v>
      </c>
      <c r="AE28" t="s">
        <v>19</v>
      </c>
      <c r="AF28">
        <v>64</v>
      </c>
      <c r="AG28">
        <v>1</v>
      </c>
    </row>
    <row r="29" spans="11:33" x14ac:dyDescent="0.2">
      <c r="K29" t="s">
        <v>19</v>
      </c>
      <c r="L29">
        <v>219</v>
      </c>
      <c r="M29">
        <v>1</v>
      </c>
      <c r="O29" t="s">
        <v>6</v>
      </c>
      <c r="P29">
        <v>106</v>
      </c>
      <c r="Q29">
        <v>1</v>
      </c>
      <c r="S29" t="s">
        <v>19</v>
      </c>
      <c r="T29">
        <v>189</v>
      </c>
      <c r="U29">
        <v>1</v>
      </c>
      <c r="W29" t="s">
        <v>19</v>
      </c>
      <c r="X29">
        <v>299</v>
      </c>
      <c r="Y29">
        <v>1</v>
      </c>
      <c r="AA29" t="s">
        <v>19</v>
      </c>
      <c r="AB29">
        <v>567</v>
      </c>
      <c r="AC29">
        <v>1</v>
      </c>
      <c r="AE29" t="s">
        <v>19</v>
      </c>
      <c r="AF29">
        <v>279</v>
      </c>
      <c r="AG29">
        <v>1</v>
      </c>
    </row>
    <row r="30" spans="11:33" x14ac:dyDescent="0.2">
      <c r="K30" t="s">
        <v>19</v>
      </c>
      <c r="L30">
        <v>970</v>
      </c>
      <c r="M30">
        <v>1</v>
      </c>
      <c r="O30" t="s">
        <v>6</v>
      </c>
      <c r="P30">
        <v>222</v>
      </c>
      <c r="Q30">
        <v>1</v>
      </c>
      <c r="S30" t="s">
        <v>19</v>
      </c>
      <c r="T30">
        <v>89</v>
      </c>
      <c r="U30">
        <v>1</v>
      </c>
      <c r="W30" t="s">
        <v>19</v>
      </c>
      <c r="X30">
        <v>2757</v>
      </c>
      <c r="Y30">
        <v>1</v>
      </c>
      <c r="AA30" t="s">
        <v>19</v>
      </c>
      <c r="AB30">
        <v>141</v>
      </c>
      <c r="AC30">
        <v>1</v>
      </c>
      <c r="AE30" t="s">
        <v>19</v>
      </c>
      <c r="AF30">
        <v>498</v>
      </c>
      <c r="AG30">
        <v>1</v>
      </c>
    </row>
    <row r="31" spans="11:33" x14ac:dyDescent="0.2">
      <c r="K31" t="s">
        <v>19</v>
      </c>
      <c r="L31">
        <v>600</v>
      </c>
      <c r="M31">
        <v>1</v>
      </c>
      <c r="O31" t="s">
        <v>6</v>
      </c>
      <c r="P31">
        <v>65</v>
      </c>
      <c r="Q31">
        <v>1</v>
      </c>
      <c r="S31" t="s">
        <v>19</v>
      </c>
      <c r="T31">
        <v>282</v>
      </c>
      <c r="U31">
        <v>1</v>
      </c>
      <c r="W31" t="s">
        <v>19</v>
      </c>
      <c r="X31">
        <v>308</v>
      </c>
      <c r="Y31">
        <v>1</v>
      </c>
      <c r="AA31" t="s">
        <v>19</v>
      </c>
      <c r="AB31">
        <v>151</v>
      </c>
      <c r="AC31">
        <v>1</v>
      </c>
      <c r="AE31" t="s">
        <v>19</v>
      </c>
      <c r="AF31">
        <v>325</v>
      </c>
      <c r="AG31">
        <v>1</v>
      </c>
    </row>
    <row r="32" spans="11:33" x14ac:dyDescent="0.2">
      <c r="K32" t="s">
        <v>19</v>
      </c>
      <c r="L32">
        <v>15</v>
      </c>
      <c r="M32">
        <v>1</v>
      </c>
      <c r="O32" t="s">
        <v>6</v>
      </c>
      <c r="P32">
        <v>394</v>
      </c>
      <c r="Q32">
        <v>1</v>
      </c>
      <c r="S32" t="s">
        <v>19</v>
      </c>
      <c r="T32">
        <v>128</v>
      </c>
      <c r="U32">
        <v>1</v>
      </c>
      <c r="W32" t="s">
        <v>19</v>
      </c>
      <c r="X32">
        <v>305</v>
      </c>
      <c r="Y32">
        <v>1</v>
      </c>
      <c r="AA32" t="s">
        <v>19</v>
      </c>
      <c r="AB32">
        <v>131</v>
      </c>
      <c r="AC32">
        <v>1</v>
      </c>
      <c r="AE32" t="s">
        <v>19</v>
      </c>
      <c r="AF32">
        <v>1135</v>
      </c>
      <c r="AG32">
        <v>1</v>
      </c>
    </row>
    <row r="33" spans="11:33" x14ac:dyDescent="0.2">
      <c r="K33" t="s">
        <v>19</v>
      </c>
      <c r="L33">
        <v>301</v>
      </c>
      <c r="M33">
        <v>1</v>
      </c>
      <c r="O33" t="s">
        <v>6</v>
      </c>
      <c r="P33">
        <v>13</v>
      </c>
      <c r="Q33">
        <v>1</v>
      </c>
      <c r="S33" t="s">
        <v>19</v>
      </c>
      <c r="U33">
        <v>0</v>
      </c>
      <c r="W33" t="s">
        <v>19</v>
      </c>
      <c r="X33">
        <v>1177</v>
      </c>
      <c r="Y33">
        <v>1</v>
      </c>
      <c r="AA33" t="s">
        <v>19</v>
      </c>
      <c r="AB33">
        <v>461</v>
      </c>
      <c r="AC33">
        <v>1</v>
      </c>
      <c r="AE33" t="s">
        <v>19</v>
      </c>
      <c r="AF33">
        <v>359</v>
      </c>
      <c r="AG33">
        <v>1</v>
      </c>
    </row>
    <row r="34" spans="11:33" x14ac:dyDescent="0.2">
      <c r="K34" t="s">
        <v>19</v>
      </c>
      <c r="L34">
        <v>142</v>
      </c>
      <c r="M34">
        <v>1</v>
      </c>
      <c r="O34" t="s">
        <v>6</v>
      </c>
      <c r="P34">
        <v>110</v>
      </c>
      <c r="Q34">
        <v>1</v>
      </c>
      <c r="S34" t="s">
        <v>19</v>
      </c>
      <c r="T34">
        <v>1207</v>
      </c>
      <c r="U34">
        <v>1</v>
      </c>
      <c r="W34" t="s">
        <v>19</v>
      </c>
      <c r="X34">
        <v>1735</v>
      </c>
      <c r="Y34">
        <v>1</v>
      </c>
      <c r="AA34" t="s">
        <v>19</v>
      </c>
      <c r="AB34">
        <v>193</v>
      </c>
      <c r="AC34">
        <v>1</v>
      </c>
      <c r="AE34" t="s">
        <v>19</v>
      </c>
      <c r="AF34">
        <v>85</v>
      </c>
      <c r="AG34">
        <v>1</v>
      </c>
    </row>
    <row r="35" spans="11:33" x14ac:dyDescent="0.2">
      <c r="K35" t="s">
        <v>19</v>
      </c>
      <c r="L35">
        <v>604</v>
      </c>
      <c r="M35">
        <v>1</v>
      </c>
      <c r="O35" t="s">
        <v>6</v>
      </c>
      <c r="P35">
        <v>21</v>
      </c>
      <c r="Q35">
        <v>1</v>
      </c>
      <c r="S35" t="s">
        <v>22</v>
      </c>
      <c r="T35">
        <v>254</v>
      </c>
      <c r="U35">
        <v>1</v>
      </c>
      <c r="W35" t="s">
        <v>19</v>
      </c>
      <c r="Y35">
        <v>0</v>
      </c>
      <c r="AA35" t="s">
        <v>19</v>
      </c>
      <c r="AB35">
        <v>241</v>
      </c>
      <c r="AC35">
        <v>1</v>
      </c>
      <c r="AE35" t="s">
        <v>19</v>
      </c>
      <c r="AF35">
        <v>33</v>
      </c>
      <c r="AG35">
        <v>1</v>
      </c>
    </row>
    <row r="36" spans="11:33" x14ac:dyDescent="0.2">
      <c r="K36" t="s">
        <v>19</v>
      </c>
      <c r="L36">
        <v>602</v>
      </c>
      <c r="M36">
        <v>1</v>
      </c>
      <c r="O36" t="s">
        <v>6</v>
      </c>
      <c r="P36">
        <v>8</v>
      </c>
      <c r="Q36">
        <v>1</v>
      </c>
      <c r="S36" t="s">
        <v>22</v>
      </c>
      <c r="T36">
        <v>983</v>
      </c>
      <c r="U36">
        <v>1</v>
      </c>
      <c r="W36" t="s">
        <v>19</v>
      </c>
      <c r="X36">
        <v>1380</v>
      </c>
      <c r="Y36">
        <v>1</v>
      </c>
      <c r="AA36" t="s">
        <v>19</v>
      </c>
      <c r="AB36">
        <v>264</v>
      </c>
      <c r="AC36">
        <v>1</v>
      </c>
      <c r="AE36" t="s">
        <v>19</v>
      </c>
      <c r="AF36">
        <v>481</v>
      </c>
      <c r="AG36">
        <v>1</v>
      </c>
    </row>
    <row r="37" spans="11:33" x14ac:dyDescent="0.2">
      <c r="K37" t="s">
        <v>19</v>
      </c>
      <c r="L37">
        <v>256</v>
      </c>
      <c r="M37">
        <v>1</v>
      </c>
      <c r="O37" t="s">
        <v>6</v>
      </c>
      <c r="P37">
        <v>108</v>
      </c>
      <c r="Q37">
        <v>1</v>
      </c>
      <c r="S37" t="s">
        <v>22</v>
      </c>
      <c r="T37">
        <v>904</v>
      </c>
      <c r="U37">
        <v>1</v>
      </c>
      <c r="W37" t="s">
        <v>19</v>
      </c>
      <c r="X37">
        <v>471</v>
      </c>
      <c r="Y37">
        <v>1</v>
      </c>
      <c r="AA37" t="s">
        <v>19</v>
      </c>
      <c r="AB37">
        <v>58</v>
      </c>
      <c r="AC37">
        <v>1</v>
      </c>
      <c r="AE37" t="s">
        <v>19</v>
      </c>
      <c r="AG37">
        <v>0</v>
      </c>
    </row>
    <row r="38" spans="11:33" x14ac:dyDescent="0.2">
      <c r="K38" t="s">
        <v>19</v>
      </c>
      <c r="L38">
        <v>264</v>
      </c>
      <c r="M38">
        <v>1</v>
      </c>
      <c r="O38" t="s">
        <v>6</v>
      </c>
      <c r="P38">
        <v>136</v>
      </c>
      <c r="Q38">
        <v>1</v>
      </c>
      <c r="S38" t="s">
        <v>22</v>
      </c>
      <c r="T38">
        <v>258</v>
      </c>
      <c r="U38">
        <v>1</v>
      </c>
      <c r="W38" t="s">
        <v>19</v>
      </c>
      <c r="X38">
        <v>602</v>
      </c>
      <c r="Y38">
        <v>1</v>
      </c>
      <c r="AA38" t="s">
        <v>19</v>
      </c>
      <c r="AB38">
        <v>336</v>
      </c>
      <c r="AC38">
        <v>1</v>
      </c>
      <c r="AE38" t="s">
        <v>19</v>
      </c>
      <c r="AF38">
        <v>148</v>
      </c>
      <c r="AG38">
        <v>1</v>
      </c>
    </row>
    <row r="39" spans="11:33" x14ac:dyDescent="0.2">
      <c r="K39" t="s">
        <v>6</v>
      </c>
      <c r="L39">
        <v>150</v>
      </c>
      <c r="M39">
        <v>1</v>
      </c>
      <c r="O39" t="s">
        <v>6</v>
      </c>
      <c r="P39">
        <v>814</v>
      </c>
      <c r="Q39">
        <v>1</v>
      </c>
      <c r="S39" t="s">
        <v>22</v>
      </c>
      <c r="T39">
        <v>249</v>
      </c>
      <c r="U39">
        <v>1</v>
      </c>
      <c r="W39" t="s">
        <v>19</v>
      </c>
      <c r="X39">
        <v>253</v>
      </c>
      <c r="Y39">
        <v>1</v>
      </c>
      <c r="AA39" t="s">
        <v>19</v>
      </c>
      <c r="AB39">
        <v>307</v>
      </c>
      <c r="AC39">
        <v>1</v>
      </c>
      <c r="AE39" t="s">
        <v>19</v>
      </c>
      <c r="AF39">
        <v>524</v>
      </c>
      <c r="AG39">
        <v>1</v>
      </c>
    </row>
    <row r="40" spans="11:33" x14ac:dyDescent="0.2">
      <c r="K40" t="s">
        <v>6</v>
      </c>
      <c r="L40">
        <v>511</v>
      </c>
      <c r="M40">
        <v>1</v>
      </c>
      <c r="O40" t="s">
        <v>6</v>
      </c>
      <c r="P40">
        <v>100</v>
      </c>
      <c r="Q40">
        <v>1</v>
      </c>
      <c r="S40" t="s">
        <v>22</v>
      </c>
      <c r="T40">
        <v>186</v>
      </c>
      <c r="U40">
        <v>1</v>
      </c>
      <c r="W40" t="s">
        <v>19</v>
      </c>
      <c r="X40">
        <v>1464</v>
      </c>
      <c r="Y40">
        <v>1</v>
      </c>
      <c r="AA40" t="s">
        <v>19</v>
      </c>
      <c r="AB40">
        <v>339</v>
      </c>
      <c r="AC40">
        <v>1</v>
      </c>
      <c r="AE40" t="s">
        <v>19</v>
      </c>
      <c r="AF40">
        <v>412</v>
      </c>
      <c r="AG40">
        <v>1</v>
      </c>
    </row>
    <row r="41" spans="11:33" x14ac:dyDescent="0.2">
      <c r="K41" t="s">
        <v>6</v>
      </c>
      <c r="L41">
        <v>236</v>
      </c>
      <c r="M41">
        <v>1</v>
      </c>
      <c r="O41" t="s">
        <v>6</v>
      </c>
      <c r="P41">
        <v>235</v>
      </c>
      <c r="Q41">
        <v>1</v>
      </c>
      <c r="S41" t="s">
        <v>22</v>
      </c>
      <c r="T41">
        <v>493</v>
      </c>
      <c r="U41">
        <v>1</v>
      </c>
      <c r="W41" t="s">
        <v>19</v>
      </c>
      <c r="X41">
        <v>3108</v>
      </c>
      <c r="Y41">
        <v>1</v>
      </c>
      <c r="AA41" t="s">
        <v>19</v>
      </c>
      <c r="AB41">
        <v>23</v>
      </c>
      <c r="AC41">
        <v>1</v>
      </c>
      <c r="AE41" t="s">
        <v>19</v>
      </c>
      <c r="AF41">
        <v>320</v>
      </c>
      <c r="AG41">
        <v>1</v>
      </c>
    </row>
    <row r="42" spans="11:33" x14ac:dyDescent="0.2">
      <c r="K42" t="s">
        <v>6</v>
      </c>
      <c r="L42">
        <v>206</v>
      </c>
      <c r="M42">
        <v>1</v>
      </c>
      <c r="O42" t="s">
        <v>19</v>
      </c>
      <c r="Q42">
        <v>0</v>
      </c>
      <c r="S42" t="s">
        <v>22</v>
      </c>
      <c r="T42">
        <v>1664</v>
      </c>
      <c r="U42">
        <v>1</v>
      </c>
      <c r="W42" t="s">
        <v>28</v>
      </c>
      <c r="X42">
        <v>191</v>
      </c>
      <c r="Y42">
        <v>1</v>
      </c>
      <c r="AA42" t="s">
        <v>19</v>
      </c>
      <c r="AB42">
        <v>100</v>
      </c>
      <c r="AC42">
        <v>1</v>
      </c>
      <c r="AE42" t="s">
        <v>19</v>
      </c>
      <c r="AF42">
        <v>180</v>
      </c>
      <c r="AG42">
        <v>1</v>
      </c>
    </row>
    <row r="43" spans="11:33" x14ac:dyDescent="0.2">
      <c r="K43" t="s">
        <v>6</v>
      </c>
      <c r="L43">
        <v>1247</v>
      </c>
      <c r="M43">
        <v>1</v>
      </c>
      <c r="O43" t="s">
        <v>19</v>
      </c>
      <c r="P43">
        <v>1494</v>
      </c>
      <c r="Q43">
        <v>1</v>
      </c>
      <c r="S43" t="s">
        <v>22</v>
      </c>
      <c r="U43">
        <v>0</v>
      </c>
      <c r="W43" t="s">
        <v>28</v>
      </c>
      <c r="X43">
        <v>617</v>
      </c>
      <c r="Y43">
        <v>1</v>
      </c>
      <c r="AA43" t="s">
        <v>19</v>
      </c>
      <c r="AB43">
        <v>71</v>
      </c>
      <c r="AC43">
        <v>1</v>
      </c>
      <c r="AE43" t="s">
        <v>19</v>
      </c>
      <c r="AF43">
        <v>845</v>
      </c>
      <c r="AG43">
        <v>1</v>
      </c>
    </row>
    <row r="44" spans="11:33" x14ac:dyDescent="0.2">
      <c r="K44" t="s">
        <v>6</v>
      </c>
      <c r="L44">
        <v>123</v>
      </c>
      <c r="M44">
        <v>1</v>
      </c>
      <c r="O44" t="s">
        <v>19</v>
      </c>
      <c r="P44">
        <v>208</v>
      </c>
      <c r="Q44">
        <v>1</v>
      </c>
      <c r="S44" t="s">
        <v>22</v>
      </c>
      <c r="T44">
        <v>822</v>
      </c>
      <c r="U44">
        <v>1</v>
      </c>
      <c r="W44" t="s">
        <v>28</v>
      </c>
      <c r="X44">
        <v>276</v>
      </c>
      <c r="Y44">
        <v>1</v>
      </c>
      <c r="AA44" t="s">
        <v>19</v>
      </c>
      <c r="AC44">
        <v>0</v>
      </c>
      <c r="AE44" t="s">
        <v>19</v>
      </c>
      <c r="AF44">
        <v>43</v>
      </c>
      <c r="AG44">
        <v>1</v>
      </c>
    </row>
    <row r="45" spans="11:33" x14ac:dyDescent="0.2">
      <c r="K45" t="s">
        <v>6</v>
      </c>
      <c r="L45">
        <v>51</v>
      </c>
      <c r="M45">
        <v>1</v>
      </c>
      <c r="O45" t="s">
        <v>19</v>
      </c>
      <c r="P45">
        <v>886</v>
      </c>
      <c r="Q45">
        <v>1</v>
      </c>
      <c r="S45" t="s">
        <v>22</v>
      </c>
      <c r="T45">
        <v>535</v>
      </c>
      <c r="U45">
        <v>1</v>
      </c>
      <c r="W45" t="s">
        <v>28</v>
      </c>
      <c r="X45">
        <v>777</v>
      </c>
      <c r="Y45">
        <v>1</v>
      </c>
      <c r="AA45" t="s">
        <v>19</v>
      </c>
      <c r="AB45">
        <v>137</v>
      </c>
      <c r="AC45">
        <v>1</v>
      </c>
      <c r="AE45" t="s">
        <v>19</v>
      </c>
      <c r="AF45">
        <v>249</v>
      </c>
      <c r="AG45">
        <v>1</v>
      </c>
    </row>
    <row r="46" spans="11:33" x14ac:dyDescent="0.2">
      <c r="K46" t="s">
        <v>6</v>
      </c>
      <c r="L46">
        <v>1782</v>
      </c>
      <c r="M46">
        <v>1</v>
      </c>
      <c r="O46" t="s">
        <v>19</v>
      </c>
      <c r="P46">
        <v>787</v>
      </c>
      <c r="Q46">
        <v>1</v>
      </c>
      <c r="S46" t="s">
        <v>22</v>
      </c>
      <c r="T46">
        <v>541</v>
      </c>
      <c r="U46">
        <v>1</v>
      </c>
      <c r="W46" t="s">
        <v>28</v>
      </c>
      <c r="X46">
        <v>348</v>
      </c>
      <c r="Y46">
        <v>1</v>
      </c>
      <c r="AA46" t="s">
        <v>19</v>
      </c>
      <c r="AC46">
        <v>0</v>
      </c>
      <c r="AE46" t="s">
        <v>6</v>
      </c>
      <c r="AF46">
        <v>283</v>
      </c>
      <c r="AG46">
        <v>1</v>
      </c>
    </row>
    <row r="47" spans="11:33" x14ac:dyDescent="0.2">
      <c r="K47" t="s">
        <v>6</v>
      </c>
      <c r="L47">
        <v>450</v>
      </c>
      <c r="M47">
        <v>1</v>
      </c>
      <c r="O47" t="s">
        <v>19</v>
      </c>
      <c r="P47">
        <v>82</v>
      </c>
      <c r="Q47">
        <v>1</v>
      </c>
      <c r="S47" t="s">
        <v>22</v>
      </c>
      <c r="T47">
        <v>200</v>
      </c>
      <c r="U47">
        <v>1</v>
      </c>
      <c r="W47" t="s">
        <v>28</v>
      </c>
      <c r="X47">
        <v>86</v>
      </c>
      <c r="Y47">
        <v>1</v>
      </c>
      <c r="AA47" t="s">
        <v>19</v>
      </c>
      <c r="AB47">
        <v>866</v>
      </c>
      <c r="AC47">
        <v>1</v>
      </c>
      <c r="AE47" t="s">
        <v>6</v>
      </c>
      <c r="AF47">
        <v>1799</v>
      </c>
      <c r="AG47">
        <v>1</v>
      </c>
    </row>
    <row r="48" spans="11:33" x14ac:dyDescent="0.2">
      <c r="K48" t="s">
        <v>6</v>
      </c>
      <c r="L48">
        <v>625</v>
      </c>
      <c r="M48">
        <v>1</v>
      </c>
      <c r="O48" t="s">
        <v>19</v>
      </c>
      <c r="P48">
        <v>528</v>
      </c>
      <c r="Q48">
        <v>1</v>
      </c>
      <c r="S48" t="s">
        <v>22</v>
      </c>
      <c r="T48">
        <v>459</v>
      </c>
      <c r="U48">
        <v>1</v>
      </c>
      <c r="W48" t="s">
        <v>28</v>
      </c>
      <c r="X48">
        <v>219</v>
      </c>
      <c r="Y48">
        <v>1</v>
      </c>
      <c r="AA48" t="s">
        <v>24</v>
      </c>
      <c r="AB48">
        <v>141</v>
      </c>
      <c r="AC48">
        <v>1</v>
      </c>
      <c r="AE48" t="s">
        <v>6</v>
      </c>
      <c r="AF48">
        <v>174</v>
      </c>
      <c r="AG48">
        <v>1</v>
      </c>
    </row>
    <row r="49" spans="11:33" x14ac:dyDescent="0.2">
      <c r="K49" t="s">
        <v>6</v>
      </c>
      <c r="L49">
        <v>18</v>
      </c>
      <c r="M49">
        <v>1</v>
      </c>
      <c r="O49" t="s">
        <v>19</v>
      </c>
      <c r="P49">
        <v>233</v>
      </c>
      <c r="Q49">
        <v>1</v>
      </c>
      <c r="S49" t="s">
        <v>22</v>
      </c>
      <c r="T49">
        <v>1495</v>
      </c>
      <c r="U49">
        <v>1</v>
      </c>
      <c r="W49" t="s">
        <v>28</v>
      </c>
      <c r="X49">
        <v>252</v>
      </c>
      <c r="Y49">
        <v>1</v>
      </c>
      <c r="AA49" t="s">
        <v>24</v>
      </c>
      <c r="AB49">
        <v>238</v>
      </c>
      <c r="AC49">
        <v>1</v>
      </c>
      <c r="AE49" t="s">
        <v>6</v>
      </c>
      <c r="AF49">
        <v>15</v>
      </c>
      <c r="AG49">
        <v>1</v>
      </c>
    </row>
    <row r="50" spans="11:33" x14ac:dyDescent="0.2">
      <c r="K50" t="s">
        <v>6</v>
      </c>
      <c r="L50">
        <v>181</v>
      </c>
      <c r="M50">
        <v>1</v>
      </c>
      <c r="O50" t="s">
        <v>19</v>
      </c>
      <c r="Q50">
        <v>0</v>
      </c>
      <c r="S50" t="s">
        <v>22</v>
      </c>
      <c r="T50">
        <v>435</v>
      </c>
      <c r="U50">
        <v>1</v>
      </c>
      <c r="W50" t="s">
        <v>28</v>
      </c>
      <c r="X50">
        <v>613</v>
      </c>
      <c r="Y50">
        <v>1</v>
      </c>
      <c r="AA50" t="s">
        <v>24</v>
      </c>
      <c r="AC50">
        <v>0</v>
      </c>
      <c r="AE50" t="s">
        <v>6</v>
      </c>
      <c r="AF50">
        <v>44</v>
      </c>
      <c r="AG50">
        <v>1</v>
      </c>
    </row>
    <row r="51" spans="11:33" x14ac:dyDescent="0.2">
      <c r="K51" t="s">
        <v>6</v>
      </c>
      <c r="L51">
        <v>601</v>
      </c>
      <c r="M51">
        <v>1</v>
      </c>
      <c r="O51" t="s">
        <v>19</v>
      </c>
      <c r="P51">
        <v>216</v>
      </c>
      <c r="Q51">
        <v>1</v>
      </c>
      <c r="S51" t="s">
        <v>22</v>
      </c>
      <c r="T51">
        <v>54</v>
      </c>
      <c r="U51">
        <v>1</v>
      </c>
      <c r="W51" t="s">
        <v>28</v>
      </c>
      <c r="X51">
        <v>47</v>
      </c>
      <c r="Y51">
        <v>1</v>
      </c>
      <c r="AA51" t="s">
        <v>24</v>
      </c>
      <c r="AB51">
        <v>496</v>
      </c>
      <c r="AC51">
        <v>1</v>
      </c>
      <c r="AE51" t="s">
        <v>6</v>
      </c>
      <c r="AF51">
        <v>498</v>
      </c>
      <c r="AG51">
        <v>1</v>
      </c>
    </row>
    <row r="52" spans="11:33" x14ac:dyDescent="0.2">
      <c r="K52" t="s">
        <v>6</v>
      </c>
      <c r="L52">
        <v>108</v>
      </c>
      <c r="M52">
        <v>1</v>
      </c>
      <c r="O52" t="s">
        <v>19</v>
      </c>
      <c r="P52">
        <v>407</v>
      </c>
      <c r="Q52">
        <v>1</v>
      </c>
      <c r="S52" t="s">
        <v>22</v>
      </c>
      <c r="T52">
        <v>625</v>
      </c>
      <c r="U52">
        <v>1</v>
      </c>
      <c r="W52" t="s">
        <v>28</v>
      </c>
      <c r="X52">
        <v>738</v>
      </c>
      <c r="Y52">
        <v>1</v>
      </c>
      <c r="AA52" t="s">
        <v>24</v>
      </c>
      <c r="AB52">
        <v>371</v>
      </c>
      <c r="AC52">
        <v>1</v>
      </c>
      <c r="AE52" t="s">
        <v>6</v>
      </c>
      <c r="AF52">
        <v>85</v>
      </c>
      <c r="AG52">
        <v>1</v>
      </c>
    </row>
    <row r="53" spans="11:33" x14ac:dyDescent="0.2">
      <c r="K53" t="s">
        <v>6</v>
      </c>
      <c r="L53">
        <v>1015</v>
      </c>
      <c r="M53">
        <v>1</v>
      </c>
      <c r="O53" t="s">
        <v>19</v>
      </c>
      <c r="Q53">
        <v>0</v>
      </c>
      <c r="S53" t="s">
        <v>22</v>
      </c>
      <c r="T53">
        <v>356</v>
      </c>
      <c r="U53">
        <v>1</v>
      </c>
      <c r="W53" t="s">
        <v>28</v>
      </c>
      <c r="X53">
        <v>752</v>
      </c>
      <c r="Y53">
        <v>1</v>
      </c>
      <c r="AA53" t="s">
        <v>24</v>
      </c>
      <c r="AB53">
        <v>1134</v>
      </c>
      <c r="AC53">
        <v>1</v>
      </c>
      <c r="AE53" t="s">
        <v>6</v>
      </c>
      <c r="AF53">
        <v>380</v>
      </c>
      <c r="AG53">
        <v>1</v>
      </c>
    </row>
    <row r="54" spans="11:33" x14ac:dyDescent="0.2">
      <c r="K54" t="s">
        <v>6</v>
      </c>
      <c r="L54">
        <v>321</v>
      </c>
      <c r="M54">
        <v>1</v>
      </c>
      <c r="O54" t="s">
        <v>19</v>
      </c>
      <c r="P54">
        <v>1335</v>
      </c>
      <c r="Q54">
        <v>1</v>
      </c>
      <c r="W54" t="s">
        <v>28</v>
      </c>
      <c r="X54">
        <v>1286</v>
      </c>
      <c r="Y54">
        <v>1</v>
      </c>
      <c r="AA54" t="s">
        <v>24</v>
      </c>
      <c r="AB54">
        <v>373</v>
      </c>
      <c r="AC54">
        <v>1</v>
      </c>
      <c r="AE54" t="s">
        <v>6</v>
      </c>
      <c r="AF54">
        <v>353</v>
      </c>
      <c r="AG54">
        <v>1</v>
      </c>
    </row>
    <row r="55" spans="11:33" x14ac:dyDescent="0.2">
      <c r="K55" t="s">
        <v>6</v>
      </c>
      <c r="L55">
        <v>465</v>
      </c>
      <c r="M55">
        <v>1</v>
      </c>
      <c r="O55" t="s">
        <v>19</v>
      </c>
      <c r="P55">
        <v>234</v>
      </c>
      <c r="Q55">
        <v>1</v>
      </c>
      <c r="W55" t="s">
        <v>28</v>
      </c>
      <c r="X55">
        <v>194</v>
      </c>
      <c r="Y55">
        <v>1</v>
      </c>
      <c r="AA55" t="s">
        <v>24</v>
      </c>
      <c r="AB55">
        <v>357</v>
      </c>
      <c r="AC55">
        <v>1</v>
      </c>
      <c r="AE55" t="s">
        <v>6</v>
      </c>
      <c r="AF55">
        <v>265</v>
      </c>
      <c r="AG55">
        <v>1</v>
      </c>
    </row>
    <row r="56" spans="11:33" x14ac:dyDescent="0.2">
      <c r="K56" t="s">
        <v>6</v>
      </c>
      <c r="L56">
        <v>40</v>
      </c>
      <c r="M56">
        <v>1</v>
      </c>
      <c r="O56" t="s">
        <v>19</v>
      </c>
      <c r="P56">
        <v>691</v>
      </c>
      <c r="Q56">
        <v>1</v>
      </c>
      <c r="W56" t="s">
        <v>28</v>
      </c>
      <c r="X56">
        <v>616</v>
      </c>
      <c r="Y56">
        <v>1</v>
      </c>
      <c r="AA56" t="s">
        <v>24</v>
      </c>
      <c r="AC56">
        <v>0</v>
      </c>
      <c r="AE56" t="s">
        <v>6</v>
      </c>
      <c r="AG56">
        <v>1</v>
      </c>
    </row>
    <row r="57" spans="11:33" x14ac:dyDescent="0.2">
      <c r="K57" t="s">
        <v>6</v>
      </c>
      <c r="L57">
        <v>3055</v>
      </c>
      <c r="M57">
        <v>1</v>
      </c>
      <c r="O57" t="s">
        <v>19</v>
      </c>
      <c r="P57">
        <v>25</v>
      </c>
      <c r="Q57">
        <v>1</v>
      </c>
      <c r="W57" t="s">
        <v>28</v>
      </c>
      <c r="X57">
        <v>572</v>
      </c>
      <c r="Y57">
        <v>1</v>
      </c>
      <c r="AA57" t="s">
        <v>24</v>
      </c>
      <c r="AC57">
        <v>0</v>
      </c>
      <c r="AE57" t="s">
        <v>6</v>
      </c>
      <c r="AF57">
        <v>353</v>
      </c>
      <c r="AG57">
        <v>1</v>
      </c>
    </row>
    <row r="58" spans="11:33" x14ac:dyDescent="0.2">
      <c r="K58" t="s">
        <v>6</v>
      </c>
      <c r="L58">
        <v>1047</v>
      </c>
      <c r="M58">
        <v>1</v>
      </c>
      <c r="O58" t="s">
        <v>19</v>
      </c>
      <c r="P58">
        <v>874</v>
      </c>
      <c r="Q58">
        <v>1</v>
      </c>
      <c r="W58" t="s">
        <v>28</v>
      </c>
      <c r="X58">
        <v>146</v>
      </c>
      <c r="Y58">
        <v>1</v>
      </c>
      <c r="AA58" t="s">
        <v>24</v>
      </c>
      <c r="AB58">
        <v>254</v>
      </c>
      <c r="AC58">
        <v>1</v>
      </c>
      <c r="AE58" t="s">
        <v>6</v>
      </c>
      <c r="AF58">
        <v>158</v>
      </c>
      <c r="AG58">
        <v>1</v>
      </c>
    </row>
    <row r="59" spans="11:33" x14ac:dyDescent="0.2">
      <c r="K59" t="s">
        <v>6</v>
      </c>
      <c r="L59">
        <v>362</v>
      </c>
      <c r="M59">
        <v>1</v>
      </c>
      <c r="O59" t="s">
        <v>19</v>
      </c>
      <c r="Q59">
        <v>0</v>
      </c>
      <c r="W59" t="s">
        <v>28</v>
      </c>
      <c r="X59">
        <v>54</v>
      </c>
      <c r="Y59">
        <v>1</v>
      </c>
      <c r="AA59" t="s">
        <v>24</v>
      </c>
      <c r="AB59">
        <v>3347</v>
      </c>
      <c r="AC59">
        <v>1</v>
      </c>
      <c r="AE59" t="s">
        <v>6</v>
      </c>
      <c r="AF59">
        <v>500</v>
      </c>
      <c r="AG59">
        <v>1</v>
      </c>
    </row>
    <row r="60" spans="11:33" x14ac:dyDescent="0.2">
      <c r="O60" t="s">
        <v>19</v>
      </c>
      <c r="P60">
        <v>306</v>
      </c>
      <c r="Q60">
        <v>1</v>
      </c>
      <c r="W60" t="s">
        <v>28</v>
      </c>
      <c r="X60">
        <v>284</v>
      </c>
      <c r="Y60">
        <v>1</v>
      </c>
      <c r="AA60" t="s">
        <v>24</v>
      </c>
      <c r="AB60">
        <v>166</v>
      </c>
      <c r="AC60">
        <v>1</v>
      </c>
      <c r="AE60" t="s">
        <v>6</v>
      </c>
      <c r="AF60">
        <v>822</v>
      </c>
      <c r="AG60">
        <v>1</v>
      </c>
    </row>
    <row r="61" spans="11:33" x14ac:dyDescent="0.2">
      <c r="W61" t="s">
        <v>28</v>
      </c>
      <c r="X61">
        <v>100</v>
      </c>
      <c r="Y61">
        <v>1</v>
      </c>
      <c r="AA61" t="s">
        <v>24</v>
      </c>
      <c r="AB61">
        <v>2257</v>
      </c>
      <c r="AC61">
        <v>1</v>
      </c>
      <c r="AE61" t="s">
        <v>6</v>
      </c>
      <c r="AF61">
        <v>714</v>
      </c>
      <c r="AG61">
        <v>1</v>
      </c>
    </row>
    <row r="62" spans="11:33" x14ac:dyDescent="0.2">
      <c r="AA62" t="s">
        <v>24</v>
      </c>
      <c r="AB62">
        <v>319</v>
      </c>
      <c r="AC62">
        <v>1</v>
      </c>
      <c r="AE62" t="s">
        <v>6</v>
      </c>
      <c r="AF62">
        <v>143</v>
      </c>
      <c r="AG62">
        <v>1</v>
      </c>
    </row>
    <row r="63" spans="11:33" x14ac:dyDescent="0.2">
      <c r="AA63" t="s">
        <v>24</v>
      </c>
      <c r="AB63">
        <v>224</v>
      </c>
      <c r="AC63">
        <v>1</v>
      </c>
      <c r="AE63" t="s">
        <v>6</v>
      </c>
      <c r="AF63">
        <v>164</v>
      </c>
      <c r="AG63">
        <v>1</v>
      </c>
    </row>
    <row r="64" spans="11:33" x14ac:dyDescent="0.2">
      <c r="AA64" t="s">
        <v>24</v>
      </c>
      <c r="AC64">
        <v>0</v>
      </c>
      <c r="AE64" t="s">
        <v>6</v>
      </c>
      <c r="AF64">
        <v>196</v>
      </c>
      <c r="AG64">
        <v>1</v>
      </c>
    </row>
    <row r="65" spans="27:33" x14ac:dyDescent="0.2">
      <c r="AA65" t="s">
        <v>24</v>
      </c>
      <c r="AC65">
        <v>0</v>
      </c>
      <c r="AE65" t="s">
        <v>6</v>
      </c>
      <c r="AF65">
        <v>705</v>
      </c>
      <c r="AG65">
        <v>1</v>
      </c>
    </row>
    <row r="66" spans="27:33" x14ac:dyDescent="0.2">
      <c r="AE66" t="s">
        <v>6</v>
      </c>
      <c r="AF66">
        <v>271</v>
      </c>
      <c r="AG66">
        <v>1</v>
      </c>
    </row>
    <row r="67" spans="27:33" x14ac:dyDescent="0.2">
      <c r="AE67" t="s">
        <v>6</v>
      </c>
      <c r="AF67">
        <v>104</v>
      </c>
      <c r="AG67">
        <v>1</v>
      </c>
    </row>
    <row r="68" spans="27:33" x14ac:dyDescent="0.2">
      <c r="AE68" t="s">
        <v>6</v>
      </c>
      <c r="AF68">
        <v>449</v>
      </c>
      <c r="AG68">
        <v>1</v>
      </c>
    </row>
  </sheetData>
  <mergeCells count="1">
    <mergeCell ref="B6:I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Figure 1</vt:lpstr>
      <vt:lpstr>Figure 2</vt:lpstr>
      <vt:lpstr>Figure 3</vt:lpstr>
      <vt:lpstr>Figure 4</vt:lpstr>
      <vt:lpstr>Fig S1</vt:lpstr>
      <vt:lpstr>Fig S2</vt:lpstr>
      <vt:lpstr>Fig S3</vt:lpstr>
      <vt:lpstr>Fig S4</vt:lpstr>
      <vt:lpstr>Fig S5</vt:lpstr>
      <vt:lpstr>Fig S6</vt:lpstr>
      <vt:lpstr>Fig S7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2022-03-03T17:59:53Z</dcterms:created>
  <dcterms:modified xsi:type="dcterms:W3CDTF">2022-03-04T13:44:35Z</dcterms:modified>
</cp:coreProperties>
</file>